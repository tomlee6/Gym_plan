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ejesh in order" sheetId="2" state="visible" r:id="rId2"/>
    <sheet xmlns:r="http://schemas.openxmlformats.org/officeDocument/2006/relationships" name="Task plan" sheetId="3" state="visible" r:id="rId3"/>
    <sheet xmlns:r="http://schemas.openxmlformats.org/officeDocument/2006/relationships" name="Summary" sheetId="4" state="visible" r:id="rId4"/>
    <sheet xmlns:r="http://schemas.openxmlformats.org/officeDocument/2006/relationships" name="TRELLIS check" sheetId="5" state="visible" r:id="rId5"/>
    <sheet xmlns:r="http://schemas.openxmlformats.org/officeDocument/2006/relationships" name="Database findings" sheetId="6" state="visible" r:id="rId6"/>
    <sheet xmlns:r="http://schemas.openxmlformats.org/officeDocument/2006/relationships" name="Target schema" sheetId="7" state="visible" r:id="rId7"/>
    <sheet xmlns:r="http://schemas.openxmlformats.org/officeDocument/2006/relationships" name="2D plan for 3D" sheetId="8" state="visible" r:id="rId8"/>
    <sheet xmlns:r="http://schemas.openxmlformats.org/officeDocument/2006/relationships" name="Sign-in review" sheetId="9" state="visible" r:id="rId9"/>
  </sheets>
  <definedNames>
    <definedName name="_xlnm._FilterDatabase" localSheetId="2" hidden="1">'Task plan'!$A$1:$I$140</definedName>
    <definedName name="_xlnm._FilterDatabase" localSheetId="4" hidden="1">'TRELLIS check'!$A$1:$F$31</definedName>
    <definedName name="_xlnm._FilterDatabase" localSheetId="5" hidden="1">'Database findings'!$A$1:$F$25</definedName>
    <definedName name="_xlnm._FilterDatabase" localSheetId="6" hidden="1">'Target schema'!$A$1:$G$186</definedName>
    <definedName name="_xlnm._FilterDatabase" localSheetId="7" hidden="1">'2D plan for 3D'!$A$1:$E$29</definedName>
    <definedName name="_xlnm._FilterDatabase" localSheetId="8" hidden="1">'Sign-in review'!$A$1:$C$12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864"/>
      <sz val="14"/>
    </font>
    <font>
      <name val="Arial"/>
      <b val="1"/>
      <sz val="10"/>
    </font>
    <font>
      <name val="Arial"/>
      <sz val="10"/>
    </font>
    <font>
      <name val="Arial"/>
      <b val="1"/>
      <color rgb="00FFFFFF"/>
      <sz val="10"/>
    </font>
    <font>
      <name val="Arial"/>
      <b val="1"/>
      <color rgb="001F3864"/>
      <sz val="12"/>
    </font>
  </fonts>
  <fills count="7">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FCE4D6"/>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3" fillId="0" borderId="0" pivotButton="0" quotePrefix="0" xfId="0"/>
    <xf numFmtId="0" fontId="5" fillId="0" borderId="0" pivotButton="0" quotePrefix="0" xfId="0"/>
    <xf numFmtId="0" fontId="4" fillId="2"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vertical="top" wrapText="1"/>
    </xf>
    <xf numFmtId="0" fontId="2" fillId="0" borderId="1" pivotButton="0" quotePrefix="0" xfId="0"/>
    <xf numFmtId="0" fontId="3" fillId="0" borderId="1" pivotButton="0" quotePrefix="0" xfId="0"/>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dxfs count="5">
    <dxf>
      <fill>
        <patternFill patternType="solid">
          <fgColor rgb="00FCE4D6"/>
        </patternFill>
      </fill>
    </dxf>
    <dxf>
      <fill>
        <patternFill patternType="solid">
          <fgColor rgb="00DDEBF7"/>
        </patternFill>
      </fill>
    </dxf>
    <dxf>
      <fill>
        <patternFill patternType="solid">
          <fgColor rgb="00E2EFDA"/>
        </patternFill>
      </fill>
    </dxf>
    <dxf>
      <fill>
        <patternFill patternType="solid">
          <fgColor rgb="00FFF2CC"/>
        </patternFill>
      </fill>
    </dxf>
    <dxf>
      <fill>
        <patternFill patternType="solid">
          <fgColor rgb="00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18" customWidth="1" min="1" max="1"/>
    <col width="110" customWidth="1" min="2" max="2"/>
  </cols>
  <sheetData>
    <row r="1">
      <c r="A1" s="1" t="inlineStr">
        <is>
          <t>Gym Floor Plan to 3D Walkthrough: task plan</t>
        </is>
      </c>
    </row>
    <row r="3">
      <c r="A3" s="2" t="inlineStr">
        <is>
          <t>Purpose</t>
        </is>
      </c>
      <c r="B3" s="3" t="inlineStr">
        <is>
          <t>Every task from the build plan (Gym-Floor-Plan-3D-Build-Plan.docx), what it involves and who does it. No dates or estimates by design.</t>
        </is>
      </c>
    </row>
    <row r="4">
      <c r="A4" s="2" t="inlineStr">
        <is>
          <t>Reviewed code</t>
        </is>
      </c>
      <c r="B4" s="3" t="inlineStr">
        <is>
          <t>All tasks were audited at commit 1316d60. Tejesh's tasks were re-checked at 91c737d (GitHub main); Thomas's statuses have not been re-checked since his two newer commits.</t>
        </is>
      </c>
    </row>
    <row r="5">
      <c r="A5" s="2" t="inlineStr">
        <is>
          <t>Tejesh in order</t>
        </is>
      </c>
      <c r="B5" s="3" t="inlineStr">
        <is>
          <t>Tejesh's 33 tasks in the order to do them, one by one. Its Status column reads the Task plan sheet, so update the status there.</t>
        </is>
      </c>
    </row>
    <row r="6">
      <c r="A6" s="2" t="inlineStr">
        <is>
          <t>TRELLIS check</t>
        </is>
      </c>
      <c r="B6" s="3" t="inlineStr">
        <is>
          <t>The Digital Twin's image-to-3D code compared line by line with Microsoft's TRELLIS and TRELLIS.2 code, plus the licence of everything it loads.</t>
        </is>
      </c>
    </row>
    <row r="7">
      <c r="A7" s="2" t="inlineStr">
        <is>
          <t>How to use</t>
        </is>
      </c>
      <c r="B7" s="3" t="inlineStr">
        <is>
          <t>Filter the Task plan sheet by Owner or Area. Keep Status today up to date using its dropdown; the Summary sheet counts update by themselves.</t>
        </is>
      </c>
    </row>
    <row r="8">
      <c r="A8" s="2" t="inlineStr">
        <is>
          <t>Cells to edit</t>
        </is>
      </c>
      <c r="B8" s="3" t="inlineStr">
        <is>
          <t>Task plan: Status today (column G), Owner (E), Works with (F), Notes (I). Leave ID and Area as they are; add new tasks at the bottom.</t>
        </is>
      </c>
    </row>
    <row r="9">
      <c r="A9" s="2" t="inlineStr">
        <is>
          <t>Status values</t>
        </is>
      </c>
      <c r="B9" s="3" t="inlineStr">
        <is>
          <t>Not started · Partly built (some code exists, see Notes) · In progress · Done · Blocked</t>
        </is>
      </c>
    </row>
    <row r="10">
      <c r="A10" s="2" t="inlineStr">
        <is>
          <t>Tejesh</t>
        </is>
      </c>
      <c r="B10" s="3" t="inlineStr">
        <is>
          <t>2D to 3D generation, the 3D walkthrough viewer and machine 3D models from the 360° video. Backend and web only; no iPhone work.</t>
        </is>
      </c>
    </row>
    <row r="11">
      <c r="A11" s="2" t="inlineStr">
        <is>
          <t>Thomas</t>
        </is>
      </c>
      <c r="B11" s="3" t="inlineStr">
        <is>
          <t>Everything else: iPhone app, single sign-in, database, backend services, processing pipeline, scan to 2D plan, plan format, reviewer editor, deployment.</t>
        </is>
      </c>
    </row>
    <row r="12">
      <c r="A12" s="2" t="inlineStr">
        <is>
          <t>GoalCert team</t>
        </is>
      </c>
      <c r="B12" s="3" t="inlineStr">
        <is>
          <t>Hub organisation, product registration, DNS, hosting region, user-creation API.</t>
        </is>
      </c>
    </row>
    <row r="13">
      <c r="A13" s="2" t="inlineStr">
        <is>
          <t>Product owner</t>
        </is>
      </c>
      <c r="B13" s="3" t="inlineStr">
        <is>
          <t>Decisions, PRD addendum, reference gyms, Apple account, Mac and test devices.</t>
        </is>
      </c>
    </row>
    <row r="14">
      <c r="A14" s="2" t="inlineStr">
        <is>
          <t>Legal</t>
        </is>
      </c>
      <c r="B14" s="3" t="inlineStr">
        <is>
          <t>TRELLIS.2 licence review.</t>
        </is>
      </c>
    </row>
    <row r="15">
      <c r="A15" s="2" t="inlineStr">
        <is>
          <t>Other sheets</t>
        </is>
      </c>
      <c r="B15" s="3" t="inlineStr">
        <is>
          <t>Summary · TRELLIS check · Database findings · Target schema · 2D plan for 3D · Sign-in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1"/>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70" customWidth="1" min="4" max="4"/>
    <col width="14" customWidth="1" min="5" max="5"/>
    <col width="18" customWidth="1" min="6" max="6"/>
    <col width="50" customWidth="1" min="7" max="7"/>
  </cols>
  <sheetData>
    <row r="1">
      <c r="A1" s="1" t="inlineStr">
        <is>
          <t>Tejesh: tasks in the order to do them</t>
        </is>
      </c>
    </row>
    <row r="2">
      <c r="A2" s="4" t="inlineStr">
        <is>
          <t>Backend and web only. Status comes from the Task plan sheet; change it there.</t>
        </is>
      </c>
    </row>
    <row r="4">
      <c r="A4" s="5" t="inlineStr">
        <is>
          <t>Building the 3D walkthrough (2D to 3D)</t>
        </is>
      </c>
    </row>
    <row r="5">
      <c r="A5" s="6" t="inlineStr">
        <is>
          <t>Step</t>
        </is>
      </c>
      <c r="B5" s="6" t="inlineStr">
        <is>
          <t>ID</t>
        </is>
      </c>
      <c r="C5" s="6" t="inlineStr">
        <is>
          <t>Task</t>
        </is>
      </c>
      <c r="D5" s="6" t="inlineStr">
        <is>
          <t>Description</t>
        </is>
      </c>
      <c r="E5" s="6" t="inlineStr">
        <is>
          <t>Status today</t>
        </is>
      </c>
      <c r="F5" s="6" t="inlineStr">
        <is>
          <t>Depends on</t>
        </is>
      </c>
      <c r="G5" s="6" t="inlineStr">
        <is>
          <t>Notes</t>
        </is>
      </c>
    </row>
    <row r="6">
      <c r="A6" s="7" t="n">
        <v>1</v>
      </c>
      <c r="B6" s="8" t="inlineStr">
        <is>
          <t>G-01</t>
        </is>
      </c>
      <c r="C6" s="7" t="inlineStr">
        <is>
          <t>Define the 3D contract</t>
        </is>
      </c>
      <c r="D6" s="7" t="inlineStr">
        <is>
          <t>Write down every 2D plan field the 3D generator relies on, its unit and what happens when it is missing (section 9).</t>
        </is>
      </c>
      <c r="E6" s="7">
        <f>IFERROR(INDEX('Task plan'!$G$2:$G$500,MATCH($B6,'Task plan'!$A$2:$A$500,0)),"")</f>
        <v/>
      </c>
      <c r="F6" s="7" t="inlineStr"/>
      <c r="G6" s="7" t="inlineStr">
        <is>
          <t>gymplan/3 in shared/plan/model.js already carries spaces, ceilings, wall kinds, curves, mirror spans, opening kinds and hinges, beams, level changes, voids, machine facing and model reference. Write down units and missing-value rules.</t>
        </is>
      </c>
    </row>
    <row r="7">
      <c r="A7" s="7" t="n">
        <v>2</v>
      </c>
      <c r="B7" s="8" t="inlineStr">
        <is>
          <t>C-15</t>
        </is>
      </c>
      <c r="C7" s="7" t="inlineStr">
        <is>
          <t>3D tables</t>
        </is>
      </c>
      <c r="D7" s="7" t="inlineStr">
        <is>
          <t>Design and migrate generated_models and machine_models (status, generator version, storage keys, sizes, review) in the shared schema.</t>
        </is>
      </c>
      <c r="E7" s="7">
        <f>IFERROR(INDEX('Task plan'!$G$2:$G$500,MATCH($B7,'Task plan'!$A$2:$A$500,0)),"")</f>
        <v/>
      </c>
      <c r="F7" s="7" t="inlineStr">
        <is>
          <t>C-01</t>
        </is>
      </c>
      <c r="G7" s="7" t="inlineStr">
        <is>
          <t>Built by Thomas in backend/migrations/001_baseline.sql (machine_models, generated_models). Review only.</t>
        </is>
      </c>
    </row>
    <row r="8">
      <c r="A8" s="7" t="n">
        <v>3</v>
      </c>
      <c r="B8" s="8" t="inlineStr">
        <is>
          <t>J-01</t>
        </is>
      </c>
      <c r="C8" s="7" t="inlineStr">
        <is>
          <t>Generator worker</t>
        </is>
      </c>
      <c r="D8" s="7" t="inlineStr">
        <is>
          <t>plan.generate job in the backend workers: read the approved plan, build the level model, store it, record it in generated_models. The same plan and generator version always give the same file.</t>
        </is>
      </c>
      <c r="E8" s="7">
        <f>IFERROR(INDEX('Task plan'!$G$2:$G$500,MATCH($B8,'Task plan'!$A$2:$A$500,0)),"")</f>
        <v/>
      </c>
      <c r="F8" s="7" t="inlineStr">
        <is>
          <t>E-01, G-01, C-15</t>
        </is>
      </c>
      <c r="G8" s="7" t="inlineStr">
        <is>
          <t>Hook exists: setGenerator() and the plan.generate handler in backend/src/jobs/handlers.js; a placeholder stores no file.</t>
        </is>
      </c>
    </row>
    <row r="9">
      <c r="A9" s="7" t="n">
        <v>4</v>
      </c>
      <c r="B9" s="8" t="inlineStr">
        <is>
          <t>J-02</t>
        </is>
      </c>
      <c r="C9" s="7" t="inlineStr">
        <is>
          <t>Walls and openings</t>
        </is>
      </c>
      <c r="D9" s="7" t="inlineStr">
        <is>
          <t>Walls at their measured thickness and height, including curves; openings cut at their real sill and head; door leaves by kind, hinge and swing; glazing.</t>
        </is>
      </c>
      <c r="E9" s="7">
        <f>IFERROR(INDEX('Task plan'!$G$2:$G$500,MATCH($B9,'Task plan'!$A$2:$A$500,0)),"")</f>
        <v/>
      </c>
      <c r="F9" s="7" t="inlineStr">
        <is>
          <t>J-01, G-03, G-04</t>
        </is>
      </c>
      <c r="G9" s="7" t="inlineStr">
        <is>
          <t>Today: 15 cm walls, 2.1 m door head, 0.9–2.1 m windows for every plan.</t>
        </is>
      </c>
    </row>
    <row r="10">
      <c r="A10" s="7" t="n">
        <v>5</v>
      </c>
      <c r="B10" s="8" t="inlineStr">
        <is>
          <t>J-03</t>
        </is>
      </c>
      <c r="C10" s="7" t="inlineStr">
        <is>
          <t>Spaces, floors and ceilings</t>
        </is>
      </c>
      <c r="D10" s="7" t="inlineStr">
        <is>
          <t>Floor and ceiling per space; ceiling zones; beams and bulkheads; steps, platforms and ramps.</t>
        </is>
      </c>
      <c r="E10" s="7">
        <f>IFERROR(INDEX('Task plan'!$G$2:$G$500,MATCH($B10,'Task plan'!$A$2:$A$500,0)),"")</f>
        <v/>
      </c>
      <c r="F10" s="7" t="inlineStr">
        <is>
          <t>J-01, G-02, G-05</t>
        </is>
      </c>
      <c r="G10" s="7" t="inlineStr"/>
    </row>
    <row r="11">
      <c r="A11" s="7" t="n">
        <v>6</v>
      </c>
      <c r="B11" s="8" t="inlineStr">
        <is>
          <t>J-04</t>
        </is>
      </c>
      <c r="C11" s="7" t="inlineStr">
        <is>
          <t>Stairs, lifts, columns and mirrors</t>
        </is>
      </c>
      <c r="D11" s="7" t="inlineStr">
        <is>
          <t>Voids with rails, columns by shape and height, reflective mirror spans.</t>
        </is>
      </c>
      <c r="E11" s="7">
        <f>IFERROR(INDEX('Task plan'!$G$2:$G$500,MATCH($B11,'Task plan'!$A$2:$A$500,0)),"")</f>
        <v/>
      </c>
      <c r="F11" s="7" t="inlineStr">
        <is>
          <t>J-01, G-03, G-05</t>
        </is>
      </c>
      <c r="G11" s="7" t="inlineStr"/>
    </row>
    <row r="12">
      <c r="A12" s="7" t="n">
        <v>7</v>
      </c>
      <c r="B12" s="8" t="inlineStr">
        <is>
          <t>J-05</t>
        </is>
      </c>
      <c r="C12" s="7" t="inlineStr">
        <is>
          <t>Default finishes</t>
        </is>
      </c>
      <c r="D12" s="7" t="inlineStr">
        <is>
          <t>One finish set for floor, wall and ceiling (GEN-03), with floor finish per space.</t>
        </is>
      </c>
      <c r="E12" s="7">
        <f>IFERROR(INDEX('Task plan'!$G$2:$G$500,MATCH($B12,'Task plan'!$A$2:$A$500,0)),"")</f>
        <v/>
      </c>
      <c r="F12" s="7" t="inlineStr">
        <is>
          <t>J-01</t>
        </is>
      </c>
      <c r="G12" s="7" t="inlineStr"/>
    </row>
    <row r="13">
      <c r="A13" s="7" t="n">
        <v>8</v>
      </c>
      <c r="B13" s="8" t="inlineStr">
        <is>
          <t>J-07</t>
        </is>
      </c>
      <c r="C13" s="7" t="inlineStr">
        <is>
          <t>Tags and zones</t>
        </is>
      </c>
      <c r="D13" s="7" t="inlineStr">
        <is>
          <t>Fire exit signs, power points and the no-build zone overlay.</t>
        </is>
      </c>
      <c r="E13" s="7">
        <f>IFERROR(INDEX('Task plan'!$G$2:$G$500,MATCH($B13,'Task plan'!$A$2:$A$500,0)),"")</f>
        <v/>
      </c>
      <c r="F13" s="7" t="inlineStr">
        <is>
          <t>J-01</t>
        </is>
      </c>
      <c r="G13" s="7" t="inlineStr"/>
    </row>
    <row r="14">
      <c r="A14" s="7" t="n">
        <v>9</v>
      </c>
      <c r="B14" s="8" t="inlineStr">
        <is>
          <t>J-08</t>
        </is>
      </c>
      <c r="C14" s="7" t="inlineStr">
        <is>
          <t>Output format and budget</t>
        </is>
      </c>
      <c r="D14" s="7" t="inlineStr">
        <is>
          <t>GLB with compressed geometry (meshopt or Draco) and KTX2 textures, 25 MB or less per level including machines; collision and start-position data alongside.</t>
        </is>
      </c>
      <c r="E14" s="7">
        <f>IFERROR(INDEX('Task plan'!$G$2:$G$500,MATCH($B14,'Task plan'!$A$2:$A$500,0)),"")</f>
        <v/>
      </c>
      <c r="F14" s="7" t="inlineStr">
        <is>
          <t>J-01</t>
        </is>
      </c>
      <c r="G14" s="7" t="inlineStr"/>
    </row>
    <row r="15">
      <c r="A15" s="7" t="n">
        <v>10</v>
      </c>
      <c r="B15" s="8" t="inlineStr">
        <is>
          <t>J-09</t>
        </is>
      </c>
      <c r="C15" s="7" t="inlineStr">
        <is>
          <t>Generation failures</t>
        </is>
      </c>
      <c r="D15" s="7" t="inlineStr">
        <is>
          <t>Mark the job failed with a clear reason so the plan returns to the reviewer queue.</t>
        </is>
      </c>
      <c r="E15" s="7">
        <f>IFERROR(INDEX('Task plan'!$G$2:$G$500,MATCH($B15,'Task plan'!$A$2:$A$500,0)),"")</f>
        <v/>
      </c>
      <c r="F15" s="7" t="inlineStr">
        <is>
          <t>E-02</t>
        </is>
      </c>
      <c r="G15" s="7" t="inlineStr"/>
    </row>
    <row r="16">
      <c r="A16" s="7" t="n">
        <v>11</v>
      </c>
      <c r="B16" s="8" t="inlineStr">
        <is>
          <t>J-10</t>
        </is>
      </c>
      <c r="C16" s="7" t="inlineStr">
        <is>
          <t>Generator tests</t>
        </is>
      </c>
      <c r="D16" s="7" t="inlineStr">
        <is>
          <t>A fixture for each element type; a determinism test (same input, same bytes); a size and speed test on a reference gym.</t>
        </is>
      </c>
      <c r="E16" s="7">
        <f>IFERROR(INDEX('Task plan'!$G$2:$G$500,MATCH($B16,'Task plan'!$A$2:$A$500,0)),"")</f>
        <v/>
      </c>
      <c r="F16" s="7" t="inlineStr">
        <is>
          <t>J-01</t>
        </is>
      </c>
      <c r="G16" s="7" t="inlineStr"/>
    </row>
    <row r="17">
      <c r="A17" s="7" t="n">
        <v>12</v>
      </c>
      <c r="B17" s="8" t="inlineStr">
        <is>
          <t>M-07</t>
        </is>
      </c>
      <c r="C17" s="7" t="inlineStr">
        <is>
          <t>3D model delivery</t>
        </is>
      </c>
      <c r="D17" s="7" t="inlineStr">
        <is>
          <t>CloudFront with signed URLs for level and machine models.</t>
        </is>
      </c>
      <c r="E17" s="7">
        <f>IFERROR(INDEX('Task plan'!$G$2:$G$500,MATCH($B17,'Task plan'!$A$2:$A$500,0)),"")</f>
        <v/>
      </c>
      <c r="F17" s="7" t="inlineStr">
        <is>
          <t>M-03</t>
        </is>
      </c>
      <c r="G17" s="7" t="inlineStr">
        <is>
          <t>infra/lib/models-distribution.ts exists, marked owned by the 3D team, and is wired into data-stack.ts. Signing key pair and URL signing in the API still to do.</t>
        </is>
      </c>
    </row>
    <row r="18">
      <c r="A18" s="7" t="n">
        <v>13</v>
      </c>
      <c r="B18" s="8" t="inlineStr">
        <is>
          <t>K-01</t>
        </is>
      </c>
      <c r="C18" s="7" t="inlineStr">
        <is>
          <t>Load the generated model</t>
        </is>
      </c>
      <c r="D18" s="7" t="inlineStr">
        <is>
          <t>Replace the in-browser build with loading the level file through a signed CloudFront link.</t>
        </is>
      </c>
      <c r="E18" s="7">
        <f>IFERROR(INDEX('Task plan'!$G$2:$G$500,MATCH($B18,'Task plan'!$A$2:$A$500,0)),"")</f>
        <v/>
      </c>
      <c r="F18" s="7" t="inlineStr">
        <is>
          <t>J-08, M-07</t>
        </is>
      </c>
      <c r="G18" s="7" t="inlineStr"/>
    </row>
    <row r="19">
      <c r="A19" s="7" t="n">
        <v>14</v>
      </c>
      <c r="B19" s="8" t="inlineStr">
        <is>
          <t>K-02</t>
        </is>
      </c>
      <c r="C19" s="7" t="inlineStr">
        <is>
          <t>Keep the viewer features</t>
        </is>
      </c>
      <c r="D19" s="7" t="inlineStr">
        <is>
          <t>Walk with collision, touch joystick, overhead view, measure tool, minimap, level switch and the fixed disclaimer, on the generated model.</t>
        </is>
      </c>
      <c r="E19" s="7">
        <f>IFERROR(INDEX('Task plan'!$G$2:$G$500,MATCH($B19,'Task plan'!$A$2:$A$500,0)),"")</f>
        <v/>
      </c>
      <c r="F19" s="7" t="inlineStr">
        <is>
          <t>K-01</t>
        </is>
      </c>
      <c r="G19" s="7" t="inlineStr">
        <is>
          <t>All exist today on the browser-built model.</t>
        </is>
      </c>
    </row>
    <row r="20">
      <c r="A20" s="7" t="n">
        <v>15</v>
      </c>
      <c r="B20" s="8" t="inlineStr">
        <is>
          <t>K-05</t>
        </is>
      </c>
      <c r="C20" s="7" t="inlineStr">
        <is>
          <t>Share-link viewer</t>
        </is>
      </c>
      <c r="D20" s="7" t="inlineStr">
        <is>
          <t>The no-sign-in share page shows the same generated model.</t>
        </is>
      </c>
      <c r="E20" s="7">
        <f>IFERROR(INDEX('Task plan'!$G$2:$G$500,MATCH($B20,'Task plan'!$A$2:$A$500,0)),"")</f>
        <v/>
      </c>
      <c r="F20" s="7" t="inlineStr">
        <is>
          <t>K-01, D-06</t>
        </is>
      </c>
      <c r="G20" s="7" t="inlineStr"/>
    </row>
    <row r="21">
      <c r="A21" s="7" t="n">
        <v>16</v>
      </c>
      <c r="B21" s="8" t="inlineStr">
        <is>
          <t>K-06</t>
        </is>
      </c>
      <c r="C21" s="7" t="inlineStr">
        <is>
          <t>Open the walkthrough from the editor</t>
        </is>
      </c>
      <c r="D21" s="7" t="inlineStr">
        <is>
          <t>Reviewers can open a version's generated walkthrough from the editor to check it.</t>
        </is>
      </c>
      <c r="E21" s="7">
        <f>IFERROR(INDEX('Task plan'!$G$2:$G$500,MATCH($B21,'Task plan'!$A$2:$A$500,0)),"")</f>
        <v/>
      </c>
      <c r="F21" s="7" t="inlineStr">
        <is>
          <t>K-01</t>
        </is>
      </c>
      <c r="G21" s="7" t="inlineStr"/>
    </row>
    <row r="22">
      <c r="A22" s="7" t="n">
        <v>17</v>
      </c>
      <c r="B22" s="8" t="inlineStr">
        <is>
          <t>K-04</t>
        </is>
      </c>
      <c r="C22" s="7" t="inlineStr">
        <is>
          <t>Performance budget</t>
        </is>
      </c>
      <c r="D22" s="7" t="inlineStr">
        <is>
          <t>First load under 8 s at 25 Mbps; 30 fps on a 2022 mid-range laptop and a 2021 iPad; checked automatically on a reference gym (VIEW-09).</t>
        </is>
      </c>
      <c r="E22" s="7">
        <f>IFERROR(INDEX('Task plan'!$G$2:$G$500,MATCH($B22,'Task plan'!$A$2:$A$500,0)),"")</f>
        <v/>
      </c>
      <c r="F22" s="7" t="inlineStr">
        <is>
          <t>K-01</t>
        </is>
      </c>
      <c r="G22" s="7" t="inlineStr"/>
    </row>
    <row r="24">
      <c r="A24" s="5" t="inlineStr">
        <is>
          <t>Machine 3D models from the 360° video (TRELLIS.2 on AWS)</t>
        </is>
      </c>
    </row>
    <row r="25">
      <c r="A25" s="6" t="inlineStr">
        <is>
          <t>Step</t>
        </is>
      </c>
      <c r="B25" s="6" t="inlineStr">
        <is>
          <t>ID</t>
        </is>
      </c>
      <c r="C25" s="6" t="inlineStr">
        <is>
          <t>Task</t>
        </is>
      </c>
      <c r="D25" s="6" t="inlineStr">
        <is>
          <t>Description</t>
        </is>
      </c>
      <c r="E25" s="6" t="inlineStr">
        <is>
          <t>Status today</t>
        </is>
      </c>
      <c r="F25" s="6" t="inlineStr">
        <is>
          <t>Depends on</t>
        </is>
      </c>
      <c r="G25" s="6" t="inlineStr">
        <is>
          <t>Notes</t>
        </is>
      </c>
    </row>
    <row r="26">
      <c r="A26" s="7" t="n">
        <v>18</v>
      </c>
      <c r="B26" s="8" t="inlineStr">
        <is>
          <t>L-11</t>
        </is>
      </c>
      <c r="C26" s="7" t="inlineStr">
        <is>
          <t>Pin every TRELLIS.2 version</t>
        </is>
      </c>
      <c r="D26" s="7" t="inlineStr">
        <is>
          <t>Pin the TRELLIS.2 commit (75fbf01 when checked) and every CUDA extension it builds (CuMesh, FlexGEMM, nvdiffrast v0.4.0, flash-attn 2.7.3, utils3d), so two image builds are identical.</t>
        </is>
      </c>
      <c r="E26" s="7">
        <f>IFERROR(INDEX('Task plan'!$G$2:$G$500,MATCH($B26,'Task plan'!$A$2:$A$500,0)),"")</f>
        <v/>
      </c>
      <c r="F26" s="7" t="inlineStr"/>
      <c r="G26" s="7" t="inlineStr">
        <is>
          <t>The worker clones main; Microsoft's setup.sh clones CuMesh and FlexGEMM unpinned.</t>
        </is>
      </c>
    </row>
    <row r="27">
      <c r="A27" s="7" t="n">
        <v>19</v>
      </c>
      <c r="B27" s="8" t="inlineStr">
        <is>
          <t>L-12</t>
        </is>
      </c>
      <c r="C27" s="7" t="inlineStr">
        <is>
          <t>Licence-safe model config</t>
        </is>
      </c>
      <c r="D27" s="7" t="inlineStr">
        <is>
          <t>Keep a local copy of the TRELLIS.2-4B config with background removal set to ZhengPeng7/BiRefNet (MIT) instead of briaai/RMBG-2.0 (CC BY-NC 4.0); send our own cut-out so matting is skipped; accept the DINOv3 licence and get access approved on Hugging Face (no product credit is required).</t>
        </is>
      </c>
      <c r="E27" s="7">
        <f>IFERROR(INDEX('Task plan'!$G$2:$G$500,MATCH($B27,'Task plan'!$A$2:$A$500,0)),"")</f>
        <v/>
      </c>
      <c r="F27" s="7" t="inlineStr"/>
      <c r="G27" s="7" t="inlineStr">
        <is>
          <t>TRELLIS.2 loads RMBG-2.0 every time it starts, even when it is not used.</t>
        </is>
      </c>
    </row>
    <row r="28">
      <c r="A28" s="7" t="n">
        <v>20</v>
      </c>
      <c r="B28" s="8" t="inlineStr">
        <is>
          <t>L-13</t>
        </is>
      </c>
      <c r="C28" s="7" t="inlineStr">
        <is>
          <t>AWS job entrypoint</t>
        </is>
      </c>
      <c r="D28" s="7" t="inlineStr">
        <is>
          <t>Replace the RunPod handler loop with an AWS Batch entrypoint: cut-out image from S3 in, GLB and metadata to S3 out, with the model-facing code unchanged. Drop nvdiffrec (preview videos only) and SPCONV_ALGO (a TRELLIS 1 setting) from the image.</t>
        </is>
      </c>
      <c r="E28" s="7">
        <f>IFERROR(INDEX('Task plan'!$G$2:$G$500,MATCH($B28,'Task plan'!$A$2:$A$500,0)),"")</f>
        <v/>
      </c>
      <c r="F28" s="7" t="inlineStr">
        <is>
          <t>L-11, L-12</t>
        </is>
      </c>
      <c r="G28" s="7" t="inlineStr">
        <is>
          <t>The RunPod version returns the GLB as base64 inside the job result, which has a size limit.</t>
        </is>
      </c>
    </row>
    <row r="29">
      <c r="A29" s="7" t="n">
        <v>21</v>
      </c>
      <c r="B29" s="8" t="inlineStr">
        <is>
          <t>L-09</t>
        </is>
      </c>
      <c r="C29" s="7" t="inlineStr">
        <is>
          <t>TRELLIS.2 container</t>
        </is>
      </c>
      <c r="D29" s="7" t="inlineStr">
        <is>
          <t>Docker image built for the NVIDIA L40S (CUDA 12.4 build stage, slim runtime) in ECR; weights copied once into S3; stateless entry point: S3 frames in, GLB out. Replaces the RunPod kit.</t>
        </is>
      </c>
      <c r="E29" s="7">
        <f>IFERROR(INDEX('Task plan'!$G$2:$G$500,MATCH($B29,'Task plan'!$A$2:$A$500,0)),"")</f>
        <v/>
      </c>
      <c r="F29" s="7" t="inlineStr"/>
      <c r="G29" s="7" t="inlineStr">
        <is>
          <t>apps/trellis2-worker in the Digital Twin repo: Dockerfile and handler checked against Microsoft's code; needs L-11 to L-13 before use.</t>
        </is>
      </c>
    </row>
    <row r="30">
      <c r="A30" s="7" t="n">
        <v>22</v>
      </c>
      <c r="B30" s="8" t="inlineStr">
        <is>
          <t>L-10</t>
        </is>
      </c>
      <c r="C30" s="7" t="inlineStr">
        <is>
          <t>GPU environment</t>
        </is>
      </c>
      <c r="D30" s="7" t="inlineStr">
        <is>
          <t>AWS Batch on g6e.xlarge in Sydney, scaling to zero when idle; job definition; infrastructure code inside the backend's CDK app.</t>
        </is>
      </c>
      <c r="E30" s="7">
        <f>IFERROR(INDEX('Task plan'!$G$2:$G$500,MATCH($B30,'Task plan'!$A$2:$A$500,0)),"")</f>
        <v/>
      </c>
      <c r="F30" s="7" t="inlineStr">
        <is>
          <t>M-02, M-15</t>
        </is>
      </c>
      <c r="G30" s="7" t="inlineStr"/>
    </row>
    <row r="31">
      <c r="A31" s="7" t="n">
        <v>23</v>
      </c>
      <c r="B31" s="8" t="inlineStr">
        <is>
          <t>L-14</t>
        </is>
      </c>
      <c r="C31" s="7" t="inlineStr">
        <is>
          <t>Golden test for each image build</t>
        </is>
      </c>
      <c r="D31" s="7" t="inlineStr">
        <is>
          <t>Run one fixed image with a fixed seed on every new image; compare triangle count, file size and run time with a stored reference before the image is used.</t>
        </is>
      </c>
      <c r="E31" s="7">
        <f>IFERROR(INDEX('Task plan'!$G$2:$G$500,MATCH($B31,'Task plan'!$A$2:$A$500,0)),"")</f>
        <v/>
      </c>
      <c r="F31" s="7" t="inlineStr">
        <is>
          <t>L-10</t>
        </is>
      </c>
      <c r="G31" s="7" t="inlineStr">
        <is>
          <t>TRELLIS.2 has never been run: all 8 saved Digital Twin jobs used TRELLIS 1.</t>
        </is>
      </c>
    </row>
    <row r="32">
      <c r="A32" s="7" t="n">
        <v>24</v>
      </c>
      <c r="B32" s="8" t="inlineStr">
        <is>
          <t>L-01</t>
        </is>
      </c>
      <c r="C32" s="7" t="inlineStr">
        <is>
          <t>Route test on five machines</t>
        </is>
      </c>
      <c r="D32" s="7" t="inlineStr">
        <is>
          <t>Chrome, black rubber, against a wall, in a row, large: compare measured reconstruction with TRELLIS.2 on look, scale error, processing time and file size; recommend the main route.</t>
        </is>
      </c>
      <c r="E32" s="7">
        <f>IFERROR(INDEX('Task plan'!$G$2:$G$500,MATCH($B32,'Task plan'!$A$2:$A$500,0)),"")</f>
        <v/>
      </c>
      <c r="F32" s="7" t="inlineStr"/>
      <c r="G32" s="7" t="inlineStr"/>
    </row>
    <row r="33">
      <c r="A33" s="7" t="n">
        <v>25</v>
      </c>
      <c r="B33" s="8" t="inlineStr">
        <is>
          <t>L-02</t>
        </is>
      </c>
      <c r="C33" s="7" t="inlineStr">
        <is>
          <t>Frame extraction</t>
        </is>
      </c>
      <c r="D33" s="7" t="inlineStr">
        <is>
          <t>Pick sharp frames spread around the orbit from the uploaded video, and from the ARKit frames when they exist.</t>
        </is>
      </c>
      <c r="E33" s="7">
        <f>IFERROR(INDEX('Task plan'!$G$2:$G$500,MATCH($B33,'Task plan'!$A$2:$A$500,0)),"")</f>
        <v/>
      </c>
      <c r="F33" s="7" t="inlineStr"/>
      <c r="G33" s="7" t="inlineStr"/>
    </row>
    <row r="34">
      <c r="A34" s="7" t="n">
        <v>26</v>
      </c>
      <c r="B34" s="8" t="inlineStr">
        <is>
          <t>L-03</t>
        </is>
      </c>
      <c r="C34" s="7" t="inlineStr">
        <is>
          <t>Cut-out</t>
        </is>
      </c>
      <c r="D34" s="7" t="inlineStr">
        <is>
          <t>Separate the machine from floor, walls and people using segmentation and the machine's scanned box.</t>
        </is>
      </c>
      <c r="E34" s="7">
        <f>IFERROR(INDEX('Task plan'!$G$2:$G$500,MATCH($B34,'Task plan'!$A$2:$A$500,0)),"")</f>
        <v/>
      </c>
      <c r="F34" s="7" t="inlineStr">
        <is>
          <t>L-02</t>
        </is>
      </c>
      <c r="G34" s="7" t="inlineStr"/>
    </row>
    <row r="35">
      <c r="A35" s="7" t="n">
        <v>27</v>
      </c>
      <c r="B35" s="8" t="inlineStr">
        <is>
          <t>L-05</t>
        </is>
      </c>
      <c r="C35" s="7" t="inlineStr">
        <is>
          <t>Generated route (TRELLIS.2)</t>
        </is>
      </c>
      <c r="D35" s="7" t="inlineStr">
        <is>
          <t>Generate a model from the best frame with TRELLIS.2. It accepts one image, so hidden sides are invented.</t>
        </is>
      </c>
      <c r="E35" s="7">
        <f>IFERROR(INDEX('Task plan'!$G$2:$G$500,MATCH($B35,'Task plan'!$A$2:$A$500,0)),"")</f>
        <v/>
      </c>
      <c r="F35" s="7" t="inlineStr">
        <is>
          <t>L-03, L-09, O-07</t>
        </is>
      </c>
      <c r="G35" s="7" t="inlineStr"/>
    </row>
    <row r="36">
      <c r="A36" s="7" t="n">
        <v>28</v>
      </c>
      <c r="B36" s="8" t="inlineStr">
        <is>
          <t>L-04</t>
        </is>
      </c>
      <c r="C36" s="7" t="inlineStr">
        <is>
          <t>Measured reconstruction</t>
        </is>
      </c>
      <c r="D36" s="7" t="inlineStr">
        <is>
          <t>Build a textured mesh from positioned frames and depth.</t>
        </is>
      </c>
      <c r="E36" s="7">
        <f>IFERROR(INDEX('Task plan'!$G$2:$G$500,MATCH($B36,'Task plan'!$A$2:$A$500,0)),"")</f>
        <v/>
      </c>
      <c r="F36" s="7" t="inlineStr">
        <is>
          <t>L-03, I-05</t>
        </is>
      </c>
      <c r="G36" s="7" t="inlineStr"/>
    </row>
    <row r="37">
      <c r="A37" s="7" t="n">
        <v>29</v>
      </c>
      <c r="B37" s="8" t="inlineStr">
        <is>
          <t>L-06</t>
        </is>
      </c>
      <c r="C37" s="7" t="inlineStr">
        <is>
          <t>Scale, align and optimise</t>
        </is>
      </c>
      <c r="D37" s="7" t="inlineStr">
        <is>
          <t>Scale and turn the model to the scanned footprint and facing without stretching (flag large mismatches); levels of detail; compression; store by content hash.</t>
        </is>
      </c>
      <c r="E37" s="7">
        <f>IFERROR(INDEX('Task plan'!$G$2:$G$500,MATCH($B37,'Task plan'!$A$2:$A$500,0)),"")</f>
        <v/>
      </c>
      <c r="F37" s="7" t="inlineStr">
        <is>
          <t>L-04 or L-05</t>
        </is>
      </c>
      <c r="G37" s="7" t="inlineStr"/>
    </row>
    <row r="38">
      <c r="A38" s="7" t="n">
        <v>30</v>
      </c>
      <c r="B38" s="8" t="inlineStr">
        <is>
          <t>L-07</t>
        </is>
      </c>
      <c r="C38" s="7" t="inlineStr">
        <is>
          <t>Model states and API</t>
        </is>
      </c>
      <c r="D38" s="7" t="inlineStr">
        <is>
          <t>asset.build job; states none, queued, building, awaiting review, approved, rejected, failed; API for the editor.</t>
        </is>
      </c>
      <c r="E38" s="7">
        <f>IFERROR(INDEX('Task plan'!$G$2:$G$500,MATCH($B38,'Task plan'!$A$2:$A$500,0)),"")</f>
        <v/>
      </c>
      <c r="F38" s="7" t="inlineStr">
        <is>
          <t>E-01, C-15</t>
        </is>
      </c>
      <c r="G38" s="7" t="inlineStr">
        <is>
          <t>Table and the 'asset.build' job kind exist; no handler is registered yet.</t>
        </is>
      </c>
    </row>
    <row r="39">
      <c r="A39" s="7" t="n">
        <v>31</v>
      </c>
      <c r="B39" s="8" t="inlineStr">
        <is>
          <t>L-08</t>
        </is>
      </c>
      <c r="C39" s="7" t="inlineStr">
        <is>
          <t>Model review screen</t>
        </is>
      </c>
      <c r="D39" s="7" t="inlineStr">
        <is>
          <t>In the editor: the model beside its 360° video; approve or reject with a reason; mark a machine 'same as' another to reuse its model.</t>
        </is>
      </c>
      <c r="E39" s="7">
        <f>IFERROR(INDEX('Task plan'!$G$2:$G$500,MATCH($B39,'Task plan'!$A$2:$A$500,0)),"")</f>
        <v/>
      </c>
      <c r="F39" s="7" t="inlineStr">
        <is>
          <t>L-07</t>
        </is>
      </c>
      <c r="G39" s="7" t="inlineStr"/>
    </row>
    <row r="40">
      <c r="A40" s="7" t="n">
        <v>32</v>
      </c>
      <c r="B40" s="8" t="inlineStr">
        <is>
          <t>J-06</t>
        </is>
      </c>
      <c r="C40" s="7" t="inlineStr">
        <is>
          <t>Machines in the level</t>
        </is>
      </c>
      <c r="D40" s="7" t="inlineStr">
        <is>
          <t>Place each approved machine model at its position and facing; a plain box where there is no model; repeated models instanced.</t>
        </is>
      </c>
      <c r="E40" s="7">
        <f>IFERROR(INDEX('Task plan'!$G$2:$G$500,MATCH($B40,'Task plan'!$A$2:$A$500,0)),"")</f>
        <v/>
      </c>
      <c r="F40" s="7" t="inlineStr">
        <is>
          <t>J-01, L-07</t>
        </is>
      </c>
      <c r="G40" s="7" t="inlineStr"/>
    </row>
    <row r="41">
      <c r="A41" s="7" t="n">
        <v>33</v>
      </c>
      <c r="B41" s="8" t="inlineStr">
        <is>
          <t>K-03</t>
        </is>
      </c>
      <c r="C41" s="7" t="inlineStr">
        <is>
          <t>Machine models in the viewer</t>
        </is>
      </c>
      <c r="D41" s="7" t="inlineStr">
        <is>
          <t>Load and cache machine models across levels; lower detail at a distance.</t>
        </is>
      </c>
      <c r="E41" s="7">
        <f>IFERROR(INDEX('Task plan'!$G$2:$G$500,MATCH($B41,'Task plan'!$A$2:$A$500,0)),"")</f>
        <v/>
      </c>
      <c r="F41" s="7" t="inlineStr">
        <is>
          <t>K-01, L-06</t>
        </is>
      </c>
      <c r="G41" s="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0"/>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30" customWidth="1" min="3" max="3"/>
    <col width="70" customWidth="1" min="4" max="4"/>
    <col width="14" customWidth="1" min="5" max="5"/>
    <col width="14" customWidth="1" min="6" max="6"/>
    <col width="14" customWidth="1" min="7" max="7"/>
    <col width="18" customWidth="1" min="8" max="8"/>
    <col width="40" customWidth="1" min="9" max="9"/>
  </cols>
  <sheetData>
    <row r="1">
      <c r="A1" s="6" t="inlineStr">
        <is>
          <t>ID</t>
        </is>
      </c>
      <c r="B1" s="6" t="inlineStr">
        <is>
          <t>Area</t>
        </is>
      </c>
      <c r="C1" s="6" t="inlineStr">
        <is>
          <t>Task</t>
        </is>
      </c>
      <c r="D1" s="6" t="inlineStr">
        <is>
          <t>Description</t>
        </is>
      </c>
      <c r="E1" s="6" t="inlineStr">
        <is>
          <t>Owner</t>
        </is>
      </c>
      <c r="F1" s="6" t="inlineStr">
        <is>
          <t>Works with</t>
        </is>
      </c>
      <c r="G1" s="6" t="inlineStr">
        <is>
          <t>Status today</t>
        </is>
      </c>
      <c r="H1" s="6" t="inlineStr">
        <is>
          <t>Depends on</t>
        </is>
      </c>
      <c r="I1" s="6" t="inlineStr">
        <is>
          <t>Notes</t>
        </is>
      </c>
    </row>
    <row r="2">
      <c r="A2" s="8" t="inlineStr">
        <is>
          <t>A-01</t>
        </is>
      </c>
      <c r="B2" s="7" t="inlineStr">
        <is>
          <t>A. Do first: blockers and bugs</t>
        </is>
      </c>
      <c r="C2" s="7" t="inlineStr">
        <is>
          <t>Commit the shared plan library</t>
        </is>
      </c>
      <c r="D2" s="7" t="inlineStr">
        <is>
          <t>Get shared/plan from its author, commit it and remove /shared/ from .gitignore. 17 files import 34 functions from it; without it the backend cannot start and the web app cannot build.</t>
        </is>
      </c>
      <c r="E2" s="7" t="inlineStr">
        <is>
          <t>Thomas</t>
        </is>
      </c>
      <c r="F2" s="7" t="inlineStr"/>
      <c r="G2" s="7" t="inlineStr">
        <is>
          <t>Not started</t>
        </is>
      </c>
      <c r="H2" s="7" t="inlineStr"/>
      <c r="I2" s="7" t="inlineStr">
        <is>
          <t>Missing since the first commit; still missing in 1316d60.</t>
        </is>
      </c>
    </row>
    <row r="3">
      <c r="A3" s="8" t="inlineStr">
        <is>
          <t>A-02</t>
        </is>
      </c>
      <c r="B3" s="7" t="inlineStr">
        <is>
          <t>A. Do first: blockers and bugs</t>
        </is>
      </c>
      <c r="C3" s="7" t="inlineStr">
        <is>
          <t>Make every test suite pass</t>
        </is>
      </c>
      <c r="D3" s="7" t="inlineStr">
        <is>
          <t>Run the backend, web and mobile tests and fix what fails. Today 15 of 17 backend and web test files fail; the mobile tests have never been run.</t>
        </is>
      </c>
      <c r="E3" s="7" t="inlineStr">
        <is>
          <t>Thomas</t>
        </is>
      </c>
      <c r="F3" s="7" t="inlineStr"/>
      <c r="G3" s="7" t="inlineStr">
        <is>
          <t>Not started</t>
        </is>
      </c>
      <c r="H3" s="7" t="inlineStr">
        <is>
          <t>A-01</t>
        </is>
      </c>
      <c r="I3" s="7" t="inlineStr"/>
    </row>
    <row r="4">
      <c r="A4" s="8" t="inlineStr">
        <is>
          <t>A-03</t>
        </is>
      </c>
      <c r="B4" s="7" t="inlineStr">
        <is>
          <t>A. Do first: blockers and bugs</t>
        </is>
      </c>
      <c r="C4" s="7" t="inlineStr">
        <is>
          <t>Restore CodeCommit access</t>
        </is>
      </c>
      <c r="D4" s="7" t="inlineStr">
        <is>
          <t>git fetch returns 403 from the audit machine. Fix access so the whole team works from the latest code.</t>
        </is>
      </c>
      <c r="E4" s="7" t="inlineStr">
        <is>
          <t>Thomas</t>
        </is>
      </c>
      <c r="F4" s="7" t="inlineStr"/>
      <c r="G4" s="7" t="inlineStr">
        <is>
          <t>Not started</t>
        </is>
      </c>
      <c r="H4" s="7" t="inlineStr"/>
      <c r="I4" s="7" t="inlineStr"/>
    </row>
    <row r="5">
      <c r="A5" s="8" t="inlineStr">
        <is>
          <t>A-04</t>
        </is>
      </c>
      <c r="B5" s="7" t="inlineStr">
        <is>
          <t>A. Do first: blockers and bugs</t>
        </is>
      </c>
      <c r="C5" s="7" t="inlineStr">
        <is>
          <t>Fix the equipment-recording crash</t>
        </is>
      </c>
      <c r="D5" s="7" t="inlineStr">
        <is>
          <t>The 360° recorder adds the microphone, but Info.plist declares no microphone permission, so iOS closes the app on the first recording. Remove audio from the recorder; this also keeps members' voices out of stored videos.</t>
        </is>
      </c>
      <c r="E5" s="7" t="inlineStr">
        <is>
          <t>Thomas</t>
        </is>
      </c>
      <c r="F5" s="7" t="inlineStr"/>
      <c r="G5" s="7" t="inlineStr">
        <is>
          <t>Not started</t>
        </is>
      </c>
      <c r="H5" s="7" t="inlineStr"/>
      <c r="I5" s="7" t="inlineStr">
        <is>
          <t>EquipmentVideoRecorder.swift lines 107–112.</t>
        </is>
      </c>
    </row>
    <row r="6">
      <c r="A6" s="8" t="inlineStr">
        <is>
          <t>A-05</t>
        </is>
      </c>
      <c r="B6" s="7" t="inlineStr">
        <is>
          <t>A. Do first: blockers and bugs</t>
        </is>
      </c>
      <c r="C6" s="7" t="inlineStr">
        <is>
          <t>Fix account data removal</t>
        </is>
      </c>
      <c r="D6" s="7" t="inlineStr">
        <is>
          <t>Removal deletes captures while machine and video rows still point at them, so it fails with a foreign-key error for any account with recorded machines. Delete machines and videos first and add a test that includes machines.</t>
        </is>
      </c>
      <c r="E6" s="7" t="inlineStr">
        <is>
          <t>Thomas</t>
        </is>
      </c>
      <c r="F6" s="7" t="inlineStr"/>
      <c r="G6" s="7" t="inlineStr">
        <is>
          <t>Not started</t>
        </is>
      </c>
      <c r="H6" s="7" t="inlineStr"/>
      <c r="I6" s="7" t="inlineStr">
        <is>
          <t>admin.js removal never touches capture_equipment or equipment_videos; the seed has no machines, so the test passes.</t>
        </is>
      </c>
    </row>
    <row r="7">
      <c r="A7" s="8" t="inlineStr">
        <is>
          <t>A-06</t>
        </is>
      </c>
      <c r="B7" s="7" t="inlineStr">
        <is>
          <t>A. Do first: blockers and bugs</t>
        </is>
      </c>
      <c r="C7" s="7" t="inlineStr">
        <is>
          <t>Mac, Xcode and a LiDAR iPhone</t>
        </is>
      </c>
      <c r="D7" s="7" t="inlineStr">
        <is>
          <t>Needed for any iPhone build or device test; the current Windows machine cannot build the app.</t>
        </is>
      </c>
      <c r="E7" s="7" t="inlineStr">
        <is>
          <t>Product owner</t>
        </is>
      </c>
      <c r="F7" s="7" t="inlineStr"/>
      <c r="G7" s="7" t="inlineStr">
        <is>
          <t>Not started</t>
        </is>
      </c>
      <c r="H7" s="7" t="inlineStr"/>
      <c r="I7" s="7" t="inlineStr"/>
    </row>
    <row r="8">
      <c r="A8" s="8" t="inlineStr">
        <is>
          <t>A-07</t>
        </is>
      </c>
      <c r="B8" s="7" t="inlineStr">
        <is>
          <t>A. Do first: blockers and bugs</t>
        </is>
      </c>
      <c r="C8" s="7" t="inlineStr">
        <is>
          <t>First end-to-end device run</t>
        </is>
      </c>
      <c r="D8" s="7" t="inlineStr">
        <is>
          <t>From a LiDAR iPhone against a local backend: scan, name machines, record their videos, submit, review, approve.</t>
        </is>
      </c>
      <c r="E8" s="7" t="inlineStr">
        <is>
          <t>Thomas</t>
        </is>
      </c>
      <c r="F8" s="7" t="inlineStr"/>
      <c r="G8" s="7" t="inlineStr">
        <is>
          <t>Not started</t>
        </is>
      </c>
      <c r="H8" s="7" t="inlineStr">
        <is>
          <t>A-01, A-04, A-06</t>
        </is>
      </c>
      <c r="I8" s="7" t="inlineStr">
        <is>
          <t>No device run has ever happened.</t>
        </is>
      </c>
    </row>
    <row r="9">
      <c r="A9" s="8" t="inlineStr">
        <is>
          <t>B-01</t>
        </is>
      </c>
      <c r="B9" s="7" t="inlineStr">
        <is>
          <t>B. Single sign-in (GoalCert Hub) and accounts</t>
        </is>
      </c>
      <c r="C9" s="7" t="inlineStr">
        <is>
          <t>Hub sign-in exchange</t>
        </is>
      </c>
      <c r="D9" s="7" t="inlineStr">
        <is>
          <t>POST /v1/auth/hub: take the Hub's one-time code and PKCE verifier, call the Hub token endpoint with the client secret, verify the signed identity (Hub keys, issuer, audience, expiry, nonce, organisation), then issue Flex tokens with the existing rotating refresh-token code.</t>
        </is>
      </c>
      <c r="E9" s="7" t="inlineStr">
        <is>
          <t>Thomas</t>
        </is>
      </c>
      <c r="F9" s="7" t="inlineStr"/>
      <c r="G9" s="7" t="inlineStr">
        <is>
          <t>Not started</t>
        </is>
      </c>
      <c r="H9" s="7" t="inlineStr">
        <is>
          <t>C-03, N-02</t>
        </is>
      </c>
      <c r="I9" s="7" t="inlineStr">
        <is>
          <t>auth.js still signs in with passwords.</t>
        </is>
      </c>
    </row>
    <row r="10">
      <c r="A10" s="8" t="inlineStr">
        <is>
          <t>B-02</t>
        </is>
      </c>
      <c r="B10" s="7" t="inlineStr">
        <is>
          <t>B. Single sign-in (GoalCert Hub) and accounts</t>
        </is>
      </c>
      <c r="C10" s="7" t="inlineStr">
        <is>
          <t>Hub events endpoint</t>
        </is>
      </c>
      <c r="D10" s="7" t="inlineStr">
        <is>
          <t>POST /v1/hub/events: check the HMAC signature; on user disabled or deleted revoke every Flex session; on user updated refresh name and email; record each event id once so a repeated event is ignored.</t>
        </is>
      </c>
      <c r="E10" s="7" t="inlineStr">
        <is>
          <t>Thomas</t>
        </is>
      </c>
      <c r="F10" s="7" t="inlineStr"/>
      <c r="G10" s="7" t="inlineStr">
        <is>
          <t>Not started</t>
        </is>
      </c>
      <c r="H10" s="7" t="inlineStr">
        <is>
          <t>B-01</t>
        </is>
      </c>
      <c r="I10" s="7" t="inlineStr"/>
    </row>
    <row r="11">
      <c r="A11" s="8" t="inlineStr">
        <is>
          <t>B-03</t>
        </is>
      </c>
      <c r="B11" s="7" t="inlineStr">
        <is>
          <t>B. Single sign-in (GoalCert Hub) and accounts</t>
        </is>
      </c>
      <c r="C11" s="7" t="inlineStr">
        <is>
          <t>Remove passwords</t>
        </is>
      </c>
      <c r="D11" s="7" t="inlineStr">
        <is>
          <t>Remove password sign-in, password reset and password hashes from the backend, and the password, forgot-password and reset screens from the web app and the iPhone app.</t>
        </is>
      </c>
      <c r="E11" s="7" t="inlineStr">
        <is>
          <t>Thomas</t>
        </is>
      </c>
      <c r="F11" s="7" t="inlineStr"/>
      <c r="G11" s="7" t="inlineStr">
        <is>
          <t>Not started</t>
        </is>
      </c>
      <c r="H11" s="7" t="inlineStr">
        <is>
          <t>B-01, B-07, B-08</t>
        </is>
      </c>
      <c r="I11" s="7" t="inlineStr"/>
    </row>
    <row r="12">
      <c r="A12" s="8" t="inlineStr">
        <is>
          <t>B-04</t>
        </is>
      </c>
      <c r="B12" s="7" t="inlineStr">
        <is>
          <t>B. Single sign-in (GoalCert Hub) and accounts</t>
        </is>
      </c>
      <c r="C12" s="7" t="inlineStr">
        <is>
          <t>Several accounts per user</t>
        </is>
      </c>
      <c r="D12" s="7" t="inlineStr">
        <is>
          <t>A user can belong to several gym accounts with a role in each. Every request names the account it acts on (X-Account-Id) and the backend checks the membership. Replace req.user.orgId in every module.</t>
        </is>
      </c>
      <c r="E12" s="7" t="inlineStr">
        <is>
          <t>Thomas</t>
        </is>
      </c>
      <c r="F12" s="7" t="inlineStr"/>
      <c r="G12" s="7" t="inlineStr">
        <is>
          <t>Not started</t>
        </is>
      </c>
      <c r="H12" s="7" t="inlineStr">
        <is>
          <t>C-03</t>
        </is>
      </c>
      <c r="I12" s="7" t="inlineStr">
        <is>
          <t>Affects captures, equipment, capture-uploads, plans, review, profile, facilities and admin.</t>
        </is>
      </c>
    </row>
    <row r="13">
      <c r="A13" s="8" t="inlineStr">
        <is>
          <t>B-05</t>
        </is>
      </c>
      <c r="B13" s="7" t="inlineStr">
        <is>
          <t>B. Single sign-in (GoalCert Hub) and accounts</t>
        </is>
      </c>
      <c r="C13" s="7" t="inlineStr">
        <is>
          <t>Invites</t>
        </is>
      </c>
      <c r="D13" s="7" t="inlineStr">
        <is>
          <t>A Flex admin invites an email to an account with a role. The first Hub sign-in with a verified, matching email links that Hub user; from then on the user is matched by Hub user id only, never by email.</t>
        </is>
      </c>
      <c r="E13" s="7" t="inlineStr">
        <is>
          <t>Thomas</t>
        </is>
      </c>
      <c r="F13" s="7" t="inlineStr"/>
      <c r="G13" s="7" t="inlineStr">
        <is>
          <t>Not started</t>
        </is>
      </c>
      <c r="H13" s="7" t="inlineStr">
        <is>
          <t>C-03</t>
        </is>
      </c>
      <c r="I13" s="7" t="inlineStr"/>
    </row>
    <row r="14">
      <c r="A14" s="8" t="inlineStr">
        <is>
          <t>B-06</t>
        </is>
      </c>
      <c r="B14" s="7" t="inlineStr">
        <is>
          <t>B. Single sign-in (GoalCert Hub) and accounts</t>
        </is>
      </c>
      <c r="C14" s="7" t="inlineStr">
        <is>
          <t>Session rules</t>
        </is>
      </c>
      <c r="D14" s="7" t="inlineStr">
        <is>
          <t>Web: refresh token for the browser tab only. iPhone: 60-day rotating refresh token in the Keychain; a Hub disable or delete signs the phone out.</t>
        </is>
      </c>
      <c r="E14" s="7" t="inlineStr">
        <is>
          <t>Thomas</t>
        </is>
      </c>
      <c r="F14" s="7" t="inlineStr"/>
      <c r="G14" s="7" t="inlineStr">
        <is>
          <t>Not started</t>
        </is>
      </c>
      <c r="H14" s="7" t="inlineStr">
        <is>
          <t>B-01, O-03</t>
        </is>
      </c>
      <c r="I14" s="7" t="inlineStr"/>
    </row>
    <row r="15">
      <c r="A15" s="8" t="inlineStr">
        <is>
          <t>B-07</t>
        </is>
      </c>
      <c r="B15" s="7" t="inlineStr">
        <is>
          <t>B. Single sign-in (GoalCert Hub) and accounts</t>
        </is>
      </c>
      <c r="C15" s="7" t="inlineStr">
        <is>
          <t>Web sign-in through the Hub</t>
        </is>
      </c>
      <c r="D15" s="7" t="inlineStr">
        <is>
          <t>Login page redirects to the Hub; a callback route sends the code to B-01; account switcher for users in several accounts.</t>
        </is>
      </c>
      <c r="E15" s="7" t="inlineStr">
        <is>
          <t>Thomas</t>
        </is>
      </c>
      <c r="F15" s="7" t="inlineStr"/>
      <c r="G15" s="7" t="inlineStr">
        <is>
          <t>Not started</t>
        </is>
      </c>
      <c r="H15" s="7" t="inlineStr">
        <is>
          <t>B-01</t>
        </is>
      </c>
      <c r="I15" s="7" t="inlineStr">
        <is>
          <t>LoginPage.jsx is a password form.</t>
        </is>
      </c>
    </row>
    <row r="16">
      <c r="A16" s="8" t="inlineStr">
        <is>
          <t>B-08</t>
        </is>
      </c>
      <c r="B16" s="7" t="inlineStr">
        <is>
          <t>B. Single sign-in (GoalCert Hub) and accounts</t>
        </is>
      </c>
      <c r="C16" s="7" t="inlineStr">
        <is>
          <t>iPhone sign-in through the Hub</t>
        </is>
      </c>
      <c r="D16" s="7" t="inlineStr">
        <is>
          <t>ASWebAuthenticationSession with PKCE; tokens in the Keychain; account picker; interrupted uploads resume after relaunch without signing in again.</t>
        </is>
      </c>
      <c r="E16" s="7" t="inlineStr">
        <is>
          <t>Thomas</t>
        </is>
      </c>
      <c r="F16" s="7" t="inlineStr"/>
      <c r="G16" s="7" t="inlineStr">
        <is>
          <t>Not started</t>
        </is>
      </c>
      <c r="H16" s="7" t="inlineStr">
        <is>
          <t>B-01</t>
        </is>
      </c>
      <c r="I16" s="7" t="inlineStr">
        <is>
          <t>auth_session.dart keeps tokens in memory only.</t>
        </is>
      </c>
    </row>
    <row r="17">
      <c r="A17" s="8" t="inlineStr">
        <is>
          <t>B-09</t>
        </is>
      </c>
      <c r="B17" s="7" t="inlineStr">
        <is>
          <t>B. Single sign-in (GoalCert Hub) and accounts</t>
        </is>
      </c>
      <c r="C17" s="7" t="inlineStr">
        <is>
          <t>Admin screens for invites and roles</t>
        </is>
      </c>
      <c r="D17" s="7" t="inlineStr">
        <is>
          <t>Replace 'add user with password' with invites; manage memberships per account and staff roles (reviewer, admin).</t>
        </is>
      </c>
      <c r="E17" s="7" t="inlineStr">
        <is>
          <t>Thomas</t>
        </is>
      </c>
      <c r="F17" s="7" t="inlineStr"/>
      <c r="G17" s="7" t="inlineStr">
        <is>
          <t>Not started</t>
        </is>
      </c>
      <c r="H17" s="7" t="inlineStr">
        <is>
          <t>B-05</t>
        </is>
      </c>
      <c r="I17" s="7" t="inlineStr"/>
    </row>
    <row r="18">
      <c r="A18" s="8" t="inlineStr">
        <is>
          <t>B-10</t>
        </is>
      </c>
      <c r="B18" s="7" t="inlineStr">
        <is>
          <t>B. Single sign-in (GoalCert Hub) and accounts</t>
        </is>
      </c>
      <c r="C18" s="7" t="inlineStr">
        <is>
          <t>Tenant isolation tests</t>
        </is>
      </c>
      <c r="D18" s="7" t="inlineStr">
        <is>
          <t>Extend the isolation tests: a user in accounts A and B sees B's data only while acting in B; a share link can never reach another plan.</t>
        </is>
      </c>
      <c r="E18" s="7" t="inlineStr">
        <is>
          <t>Thomas</t>
        </is>
      </c>
      <c r="F18" s="7" t="inlineStr"/>
      <c r="G18" s="7" t="inlineStr">
        <is>
          <t>Partly built</t>
        </is>
      </c>
      <c r="H18" s="7" t="inlineStr">
        <is>
          <t>B-04</t>
        </is>
      </c>
      <c r="I18" s="7" t="inlineStr">
        <is>
          <t>Single-account isolation is already tested, including equipment.</t>
        </is>
      </c>
    </row>
    <row r="19">
      <c r="A19" s="8" t="inlineStr">
        <is>
          <t>C-01</t>
        </is>
      </c>
      <c r="B19" s="7" t="inlineStr">
        <is>
          <t>C. Database</t>
        </is>
      </c>
      <c r="C19" s="7" t="inlineStr">
        <is>
          <t>New baseline schema</t>
        </is>
      </c>
      <c r="D19" s="7" t="inlineStr">
        <is>
          <t>Nothing is deployed yet, so replace migrations 001–004 with one clean baseline built to the target schema instead of layering more ALTER statements.</t>
        </is>
      </c>
      <c r="E19" s="7" t="inlineStr">
        <is>
          <t>Thomas</t>
        </is>
      </c>
      <c r="F19" s="7" t="inlineStr">
        <is>
          <t>Tejesh</t>
        </is>
      </c>
      <c r="G19" s="7" t="inlineStr">
        <is>
          <t>Not started</t>
        </is>
      </c>
      <c r="H19" s="7" t="inlineStr"/>
      <c r="I19" s="7" t="inlineStr"/>
    </row>
    <row r="20">
      <c r="A20" s="8" t="inlineStr">
        <is>
          <t>C-02</t>
        </is>
      </c>
      <c r="B20" s="7" t="inlineStr">
        <is>
          <t>C. Database</t>
        </is>
      </c>
      <c r="C20" s="7" t="inlineStr">
        <is>
          <t>UUID primary keys</t>
        </is>
      </c>
      <c r="D20" s="7" t="inlineStr">
        <is>
          <t>Every primary key becomes a UUIDv7 stored as CHAR(36) ASCII (time-ordered, so inserts stay in index order). Users also keep the Hub user id, unique.</t>
        </is>
      </c>
      <c r="E20" s="7" t="inlineStr">
        <is>
          <t>Thomas</t>
        </is>
      </c>
      <c r="F20" s="7" t="inlineStr"/>
      <c r="G20" s="7" t="inlineStr">
        <is>
          <t>Not started</t>
        </is>
      </c>
      <c r="H20" s="7" t="inlineStr">
        <is>
          <t>C-01</t>
        </is>
      </c>
      <c r="I20" s="7" t="inlineStr">
        <is>
          <t>Today: prefix plus 20 random characters in VARCHAR(40), e.g. usr_…</t>
        </is>
      </c>
    </row>
    <row r="21">
      <c r="A21" s="8" t="inlineStr">
        <is>
          <t>C-03</t>
        </is>
      </c>
      <c r="B21" s="7" t="inlineStr">
        <is>
          <t>C. Database</t>
        </is>
      </c>
      <c r="C21" s="7" t="inlineStr">
        <is>
          <t>Users, memberships, invites, sessions</t>
        </is>
      </c>
      <c r="D21" s="7" t="inlineStr">
        <is>
          <t>Replace users.org_id, role, role_label, password_hash and the password_resets table with the users, memberships, invites and sessions tables of the target schema.</t>
        </is>
      </c>
      <c r="E21" s="7" t="inlineStr">
        <is>
          <t>Thomas</t>
        </is>
      </c>
      <c r="F21" s="7" t="inlineStr"/>
      <c r="G21" s="7" t="inlineStr">
        <is>
          <t>Not started</t>
        </is>
      </c>
      <c r="H21" s="7" t="inlineStr">
        <is>
          <t>C-01</t>
        </is>
      </c>
      <c r="I21" s="7" t="inlineStr"/>
    </row>
    <row r="22">
      <c r="A22" s="8" t="inlineStr">
        <is>
          <t>C-04</t>
        </is>
      </c>
      <c r="B22" s="7" t="inlineStr">
        <is>
          <t>C. Database</t>
        </is>
      </c>
      <c r="C22" s="7" t="inlineStr">
        <is>
          <t>Remove redundant columns</t>
        </is>
      </c>
      <c r="D22" s="7" t="inlineStr">
        <is>
          <t>Drop users.role_label, plan_versions.walkthrough_url, plan_versions.review_seconds, the copies of coverage, override reason and area on plan_versions, captures.facility_id and level, share_links.plan_version_id and capture_files.equipment_id.</t>
        </is>
      </c>
      <c r="E22" s="7" t="inlineStr">
        <is>
          <t>Thomas</t>
        </is>
      </c>
      <c r="F22" s="7" t="inlineStr"/>
      <c r="G22" s="7" t="inlineStr">
        <is>
          <t>Not started</t>
        </is>
      </c>
      <c r="H22" s="7" t="inlineStr">
        <is>
          <t>C-01</t>
        </is>
      </c>
      <c r="I22" s="7" t="inlineStr"/>
    </row>
    <row r="23">
      <c r="A23" s="8" t="inlineStr">
        <is>
          <t>C-05</t>
        </is>
      </c>
      <c r="B23" s="7" t="inlineStr">
        <is>
          <t>C. Database</t>
        </is>
      </c>
      <c r="C23" s="7" t="inlineStr">
        <is>
          <t>Generated measurement columns</t>
        </is>
      </c>
      <c r="D23" s="7" t="inlineStr">
        <is>
          <t>Make area, width, length, perimeter, element counts and open-flag count STORED generated columns computed from plan_json, so they can never disagree with the plan.</t>
        </is>
      </c>
      <c r="E23" s="7" t="inlineStr">
        <is>
          <t>Thomas</t>
        </is>
      </c>
      <c r="F23" s="7" t="inlineStr"/>
      <c r="G23" s="7" t="inlineStr">
        <is>
          <t>Not started</t>
        </is>
      </c>
      <c r="H23" s="7" t="inlineStr">
        <is>
          <t>C-01</t>
        </is>
      </c>
      <c r="I23" s="7" t="inlineStr">
        <is>
          <t>Today they are copied by hand on every write (migration 003).</t>
        </is>
      </c>
    </row>
    <row r="24">
      <c r="A24" s="8" t="inlineStr">
        <is>
          <t>C-06</t>
        </is>
      </c>
      <c r="B24" s="7" t="inlineStr">
        <is>
          <t>C. Database</t>
        </is>
      </c>
      <c r="C24" s="7" t="inlineStr">
        <is>
          <t>Typed capture details</t>
        </is>
      </c>
      <c r="D24" s="7" t="inlineStr">
        <is>
          <t>Replace the captures.metadata JSON with typed columns, plus capture_tags, control_distances and drawing_details tables.</t>
        </is>
      </c>
      <c r="E24" s="7" t="inlineStr">
        <is>
          <t>Thomas</t>
        </is>
      </c>
      <c r="F24" s="7" t="inlineStr"/>
      <c r="G24" s="7" t="inlineStr">
        <is>
          <t>Not started</t>
        </is>
      </c>
      <c r="H24" s="7" t="inlineStr">
        <is>
          <t>C-01</t>
        </is>
      </c>
      <c r="I24" s="7" t="inlineStr"/>
    </row>
    <row r="25">
      <c r="A25" s="8" t="inlineStr">
        <is>
          <t>C-07</t>
        </is>
      </c>
      <c r="B25" s="7" t="inlineStr">
        <is>
          <t>C. Database</t>
        </is>
      </c>
      <c r="C25" s="7" t="inlineStr">
        <is>
          <t>Equipment types table</t>
        </is>
      </c>
      <c r="D25" s="7" t="inlineStr">
        <is>
          <t>Store machine types once in equipment_types (a global list plus custom types per account) instead of free text on every row.</t>
        </is>
      </c>
      <c r="E25" s="7" t="inlineStr">
        <is>
          <t>Thomas</t>
        </is>
      </c>
      <c r="F25" s="7" t="inlineStr"/>
      <c r="G25" s="7" t="inlineStr">
        <is>
          <t>Not started</t>
        </is>
      </c>
      <c r="H25" s="7" t="inlineStr">
        <is>
          <t>C-01</t>
        </is>
      </c>
      <c r="I25" s="7" t="inlineStr"/>
    </row>
    <row r="26">
      <c r="A26" s="8" t="inlineStr">
        <is>
          <t>C-08</t>
        </is>
      </c>
      <c r="B26" s="7" t="inlineStr">
        <is>
          <t>C. Database</t>
        </is>
      </c>
      <c r="C26" s="7" t="inlineStr">
        <is>
          <t>Foreign keys and matching account keys</t>
        </is>
      </c>
      <c r="D26" s="7" t="inlineStr">
        <is>
          <t>Add the missing foreign keys (plan saved by, based on version, share link plan, video files) and composite (account_id, id) foreign keys so a child row's account always matches its parent's.</t>
        </is>
      </c>
      <c r="E26" s="7" t="inlineStr">
        <is>
          <t>Thomas</t>
        </is>
      </c>
      <c r="F26" s="7" t="inlineStr"/>
      <c r="G26" s="7" t="inlineStr">
        <is>
          <t>Not started</t>
        </is>
      </c>
      <c r="H26" s="7" t="inlineStr">
        <is>
          <t>C-01</t>
        </is>
      </c>
      <c r="I26" s="7" t="inlineStr"/>
    </row>
    <row r="27">
      <c r="A27" s="8" t="inlineStr">
        <is>
          <t>C-09</t>
        </is>
      </c>
      <c r="B27" s="7" t="inlineStr">
        <is>
          <t>C. Database</t>
        </is>
      </c>
      <c r="C27" s="7" t="inlineStr">
        <is>
          <t>Uniqueness enforced by the database</t>
        </is>
      </c>
      <c r="D27" s="7" t="inlineStr">
        <is>
          <t>One approved or ready version per plan, one unrevoked share link per plan, one open invite per email per account, each Hub event once, one approved model per machine.</t>
        </is>
      </c>
      <c r="E27" s="7" t="inlineStr">
        <is>
          <t>Thomas</t>
        </is>
      </c>
      <c r="F27" s="7" t="inlineStr">
        <is>
          <t>Tejesh</t>
        </is>
      </c>
      <c r="G27" s="7" t="inlineStr">
        <is>
          <t>Not started</t>
        </is>
      </c>
      <c r="H27" s="7" t="inlineStr">
        <is>
          <t>C-01</t>
        </is>
      </c>
      <c r="I27" s="7" t="inlineStr">
        <is>
          <t>Today only the code prevents these duplicates.</t>
        </is>
      </c>
    </row>
    <row r="28">
      <c r="A28" s="8" t="inlineStr">
        <is>
          <t>C-10</t>
        </is>
      </c>
      <c r="B28" s="7" t="inlineStr">
        <is>
          <t>C. Database</t>
        </is>
      </c>
      <c r="C28" s="7" t="inlineStr">
        <is>
          <t>Indexes</t>
        </is>
      </c>
      <c r="D28" s="7" t="inlineStr">
        <is>
          <t>Reviewer queue (status, submitted_at); weekly reviewer time (reviewed_by, reviewed_at); share links by plan; audit log by target; jobs by status.</t>
        </is>
      </c>
      <c r="E28" s="7" t="inlineStr">
        <is>
          <t>Thomas</t>
        </is>
      </c>
      <c r="F28" s="7" t="inlineStr"/>
      <c r="G28" s="7" t="inlineStr">
        <is>
          <t>Not started</t>
        </is>
      </c>
      <c r="H28" s="7" t="inlineStr">
        <is>
          <t>C-01</t>
        </is>
      </c>
      <c r="I28" s="7" t="inlineStr"/>
    </row>
    <row r="29">
      <c r="A29" s="8" t="inlineStr">
        <is>
          <t>C-11</t>
        </is>
      </c>
      <c r="B29" s="7" t="inlineStr">
        <is>
          <t>C. Database</t>
        </is>
      </c>
      <c r="C29" s="7" t="inlineStr">
        <is>
          <t>CHECK constraints</t>
        </is>
      </c>
      <c r="D29" s="7" t="inlineStr">
        <is>
          <t>Database checks for ranges the API already validates: level −5 to 200, coverage 0 to 1, positive sizes, quota not negative.</t>
        </is>
      </c>
      <c r="E29" s="7" t="inlineStr">
        <is>
          <t>Thomas</t>
        </is>
      </c>
      <c r="F29" s="7" t="inlineStr"/>
      <c r="G29" s="7" t="inlineStr">
        <is>
          <t>Not started</t>
        </is>
      </c>
      <c r="H29" s="7" t="inlineStr">
        <is>
          <t>C-01</t>
        </is>
      </c>
      <c r="I29" s="7" t="inlineStr"/>
    </row>
    <row r="30">
      <c r="A30" s="8" t="inlineStr">
        <is>
          <t>C-12</t>
        </is>
      </c>
      <c r="B30" s="7" t="inlineStr">
        <is>
          <t>C. Database</t>
        </is>
      </c>
      <c r="C30" s="7" t="inlineStr">
        <is>
          <t>UTC everywhere</t>
        </is>
      </c>
      <c r="D30" s="7" t="inlineStr">
        <is>
          <t>Set the session time zone to UTC on every connection and use one time function. Today column defaults and NOW() use the server's zone while updates use UTC_TIMESTAMP().</t>
        </is>
      </c>
      <c r="E30" s="7" t="inlineStr">
        <is>
          <t>Thomas</t>
        </is>
      </c>
      <c r="F30" s="7" t="inlineStr"/>
      <c r="G30" s="7" t="inlineStr">
        <is>
          <t>Not started</t>
        </is>
      </c>
      <c r="H30" s="7" t="inlineStr"/>
      <c r="I30" s="7" t="inlineStr"/>
    </row>
    <row r="31">
      <c r="A31" s="8" t="inlineStr">
        <is>
          <t>C-13</t>
        </is>
      </c>
      <c r="B31" s="7" t="inlineStr">
        <is>
          <t>C. Database</t>
        </is>
      </c>
      <c r="C31" s="7" t="inlineStr">
        <is>
          <t>Character sets</t>
        </is>
      </c>
      <c r="D31" s="7" t="inlineStr">
        <is>
          <t>Declare utf8mb4_0900_ai_ci on every table and ASCII binary on ID columns. Today only 4 of 14 tables declare one.</t>
        </is>
      </c>
      <c r="E31" s="7" t="inlineStr">
        <is>
          <t>Thomas</t>
        </is>
      </c>
      <c r="F31" s="7" t="inlineStr"/>
      <c r="G31" s="7" t="inlineStr">
        <is>
          <t>Not started</t>
        </is>
      </c>
      <c r="H31" s="7" t="inlineStr">
        <is>
          <t>C-01</t>
        </is>
      </c>
      <c r="I31" s="7" t="inlineStr"/>
    </row>
    <row r="32">
      <c r="A32" s="8" t="inlineStr">
        <is>
          <t>C-14</t>
        </is>
      </c>
      <c r="B32" s="7" t="inlineStr">
        <is>
          <t>C. Database</t>
        </is>
      </c>
      <c r="C32" s="7" t="inlineStr">
        <is>
          <t>MySQL 8.4</t>
        </is>
      </c>
      <c r="D32" s="7" t="inlineStr">
        <is>
          <t>Move Docker Compose, tests and RDS to MySQL 8.4 LTS; 8.0 is out of support.</t>
        </is>
      </c>
      <c r="E32" s="7" t="inlineStr">
        <is>
          <t>Thomas</t>
        </is>
      </c>
      <c r="F32" s="7" t="inlineStr"/>
      <c r="G32" s="7" t="inlineStr">
        <is>
          <t>Not started</t>
        </is>
      </c>
      <c r="H32" s="7" t="inlineStr"/>
      <c r="I32" s="7" t="inlineStr"/>
    </row>
    <row r="33">
      <c r="A33" s="8" t="inlineStr">
        <is>
          <t>C-15</t>
        </is>
      </c>
      <c r="B33" s="7" t="inlineStr">
        <is>
          <t>C. Database</t>
        </is>
      </c>
      <c r="C33" s="7" t="inlineStr">
        <is>
          <t>3D tables</t>
        </is>
      </c>
      <c r="D33" s="7" t="inlineStr">
        <is>
          <t>Design and migrate generated_models and machine_models (status, generator version, storage keys, sizes, review) in the shared schema.</t>
        </is>
      </c>
      <c r="E33" s="7" t="inlineStr">
        <is>
          <t>Tejesh</t>
        </is>
      </c>
      <c r="F33" s="7" t="inlineStr">
        <is>
          <t>Thomas</t>
        </is>
      </c>
      <c r="G33" s="7" t="inlineStr">
        <is>
          <t>Done</t>
        </is>
      </c>
      <c r="H33" s="7" t="inlineStr">
        <is>
          <t>C-01</t>
        </is>
      </c>
      <c r="I33" s="7" t="inlineStr">
        <is>
          <t>Built by Thomas in backend/migrations/001_baseline.sql (machine_models, generated_models). Review only.</t>
        </is>
      </c>
    </row>
    <row r="34">
      <c r="A34" s="8" t="inlineStr">
        <is>
          <t>C-16</t>
        </is>
      </c>
      <c r="B34" s="7" t="inlineStr">
        <is>
          <t>C. Database</t>
        </is>
      </c>
      <c r="C34" s="7" t="inlineStr">
        <is>
          <t>Seed data</t>
        </is>
      </c>
      <c r="D34" s="7" t="inlineStr">
        <is>
          <t>Rewrite the seed for the new schema, including machines, videos, models and users in several accounts.</t>
        </is>
      </c>
      <c r="E34" s="7" t="inlineStr">
        <is>
          <t>Thomas</t>
        </is>
      </c>
      <c r="F34" s="7" t="inlineStr">
        <is>
          <t>Tejesh</t>
        </is>
      </c>
      <c r="G34" s="7" t="inlineStr">
        <is>
          <t>Not started</t>
        </is>
      </c>
      <c r="H34" s="7" t="inlineStr">
        <is>
          <t>C-01</t>
        </is>
      </c>
      <c r="I34" s="7" t="inlineStr"/>
    </row>
    <row r="35">
      <c r="A35" s="8" t="inlineStr">
        <is>
          <t>D-01</t>
        </is>
      </c>
      <c r="B35" s="7" t="inlineStr">
        <is>
          <t>D. Backend services</t>
        </is>
      </c>
      <c r="C35" s="7" t="inlineStr">
        <is>
          <t>Captures module</t>
        </is>
      </c>
      <c r="D35" s="7" t="inlineStr">
        <is>
          <t>Account-scoped requests and typed capture details; keep the idempotent register and resumable signed-URL upload.</t>
        </is>
      </c>
      <c r="E35" s="7" t="inlineStr">
        <is>
          <t>Thomas</t>
        </is>
      </c>
      <c r="F35" s="7" t="inlineStr"/>
      <c r="G35" s="7" t="inlineStr">
        <is>
          <t>Partly built</t>
        </is>
      </c>
      <c r="H35" s="7" t="inlineStr">
        <is>
          <t>B-04, C-06</t>
        </is>
      </c>
      <c r="I35" s="7" t="inlineStr"/>
    </row>
    <row r="36">
      <c r="A36" s="8" t="inlineStr">
        <is>
          <t>D-02</t>
        </is>
      </c>
      <c r="B36" s="7" t="inlineStr">
        <is>
          <t>D. Backend services</t>
        </is>
      </c>
      <c r="C36" s="7" t="inlineStr">
        <is>
          <t>Equipment module</t>
        </is>
      </c>
      <c r="D36" s="7" t="inlineStr">
        <is>
          <t>Use equipment_types and the machines and machine_videos tables; when a video is retaken, delete the old S3 objects and abort the old upload.</t>
        </is>
      </c>
      <c r="E36" s="7" t="inlineStr">
        <is>
          <t>Thomas</t>
        </is>
      </c>
      <c r="F36" s="7" t="inlineStr"/>
      <c r="G36" s="7" t="inlineStr">
        <is>
          <t>Partly built</t>
        </is>
      </c>
      <c r="H36" s="7" t="inlineStr">
        <is>
          <t>C-07</t>
        </is>
      </c>
      <c r="I36" s="7" t="inlineStr">
        <is>
          <t>A retake deletes the rows only (equipment.js lines 326–330).</t>
        </is>
      </c>
    </row>
    <row r="37">
      <c r="A37" s="8" t="inlineStr">
        <is>
          <t>D-03</t>
        </is>
      </c>
      <c r="B37" s="7" t="inlineStr">
        <is>
          <t>D. Backend services</t>
        </is>
      </c>
      <c r="C37" s="7" t="inlineStr">
        <is>
          <t>Place hand-added machines</t>
        </is>
      </c>
      <c r="D37" s="7" t="inlineStr">
        <is>
          <t>Let the reviewer place machines that were added on the phone without a position. Today they are left out of the plan and their videos never reach the editor.</t>
        </is>
      </c>
      <c r="E37" s="7" t="inlineStr">
        <is>
          <t>Thomas</t>
        </is>
      </c>
      <c r="F37" s="7" t="inlineStr"/>
      <c r="G37" s="7" t="inlineStr">
        <is>
          <t>Not started</t>
        </is>
      </c>
      <c r="H37" s="7" t="inlineStr"/>
      <c r="I37" s="7" t="inlineStr">
        <is>
          <t>equipment.js line 144 filters them out.</t>
        </is>
      </c>
    </row>
    <row r="38">
      <c r="A38" s="8" t="inlineStr">
        <is>
          <t>D-04</t>
        </is>
      </c>
      <c r="B38" s="7" t="inlineStr">
        <is>
          <t>D. Backend services</t>
        </is>
      </c>
      <c r="C38" s="7" t="inlineStr">
        <is>
          <t>Review module</t>
        </is>
      </c>
      <c r="D38" s="7" t="inlineStr">
        <is>
          <t>Keep claim, save, approve, reject and revise. Approval moves the plan to Generating and queues the 3D job instead of going straight to Ready.</t>
        </is>
      </c>
      <c r="E38" s="7" t="inlineStr">
        <is>
          <t>Thomas</t>
        </is>
      </c>
      <c r="F38" s="7" t="inlineStr">
        <is>
          <t>Tejesh</t>
        </is>
      </c>
      <c r="G38" s="7" t="inlineStr">
        <is>
          <t>Partly built</t>
        </is>
      </c>
      <c r="H38" s="7" t="inlineStr">
        <is>
          <t>E-01</t>
        </is>
      </c>
      <c r="I38" s="7" t="inlineStr"/>
    </row>
    <row r="39">
      <c r="A39" s="8" t="inlineStr">
        <is>
          <t>D-05</t>
        </is>
      </c>
      <c r="B39" s="7" t="inlineStr">
        <is>
          <t>D. Backend services</t>
        </is>
      </c>
      <c r="C39" s="7" t="inlineStr">
        <is>
          <t>Owner status</t>
        </is>
      </c>
      <c r="D39" s="7" t="inlineStr">
        <is>
          <t>Add the Generating state and each machine's model status; build walkthrough links from configuration instead of storing them.</t>
        </is>
      </c>
      <c r="E39" s="7" t="inlineStr">
        <is>
          <t>Thomas</t>
        </is>
      </c>
      <c r="F39" s="7" t="inlineStr"/>
      <c r="G39" s="7" t="inlineStr">
        <is>
          <t>Partly built</t>
        </is>
      </c>
      <c r="H39" s="7" t="inlineStr">
        <is>
          <t>C-04</t>
        </is>
      </c>
      <c r="I39" s="7" t="inlineStr"/>
    </row>
    <row r="40">
      <c r="A40" s="8" t="inlineStr">
        <is>
          <t>D-06</t>
        </is>
      </c>
      <c r="B40" s="7" t="inlineStr">
        <is>
          <t>D. Backend services</t>
        </is>
      </c>
      <c r="C40" s="7" t="inlineStr">
        <is>
          <t>Share links</t>
        </is>
      </c>
      <c r="D40" s="7" t="inlineStr">
        <is>
          <t>Store tokens hashed; keep expiry and revoke; open the newest ready version's generated model.</t>
        </is>
      </c>
      <c r="E40" s="7" t="inlineStr">
        <is>
          <t>Thomas</t>
        </is>
      </c>
      <c r="F40" s="7" t="inlineStr"/>
      <c r="G40" s="7" t="inlineStr">
        <is>
          <t>Partly built</t>
        </is>
      </c>
      <c r="H40" s="7" t="inlineStr">
        <is>
          <t>C-01</t>
        </is>
      </c>
      <c r="I40" s="7" t="inlineStr">
        <is>
          <t>Tokens are stored in plain text today.</t>
        </is>
      </c>
    </row>
    <row r="41">
      <c r="A41" s="8" t="inlineStr">
        <is>
          <t>D-07</t>
        </is>
      </c>
      <c r="B41" s="7" t="inlineStr">
        <is>
          <t>D. Backend services</t>
        </is>
      </c>
      <c r="C41" s="7" t="inlineStr">
        <is>
          <t>Email</t>
        </is>
      </c>
      <c r="D41" s="7" t="inlineStr">
        <is>
          <t>Send through Amazon SES: plan ready for review, plan rejected, walkthrough ready, invites.</t>
        </is>
      </c>
      <c r="E41" s="7" t="inlineStr">
        <is>
          <t>Thomas</t>
        </is>
      </c>
      <c r="F41" s="7" t="inlineStr"/>
      <c r="G41" s="7" t="inlineStr">
        <is>
          <t>Not started</t>
        </is>
      </c>
      <c r="H41" s="7" t="inlineStr">
        <is>
          <t>M-09</t>
        </is>
      </c>
      <c r="I41" s="7" t="inlineStr">
        <is>
          <t>mailer.js only logs.</t>
        </is>
      </c>
    </row>
    <row r="42">
      <c r="A42" s="8" t="inlineStr">
        <is>
          <t>D-08</t>
        </is>
      </c>
      <c r="B42" s="7" t="inlineStr">
        <is>
          <t>D. Backend services</t>
        </is>
      </c>
      <c r="C42" s="7" t="inlineStr">
        <is>
          <t>Admin</t>
        </is>
      </c>
      <c r="D42" s="7" t="inlineStr">
        <is>
          <t>Accounts, quotas, memberships and staff roles; account removal as a background job; audit log and CSV export.</t>
        </is>
      </c>
      <c r="E42" s="7" t="inlineStr">
        <is>
          <t>Thomas</t>
        </is>
      </c>
      <c r="F42" s="7" t="inlineStr"/>
      <c r="G42" s="7" t="inlineStr">
        <is>
          <t>Partly built</t>
        </is>
      </c>
      <c r="H42" s="7" t="inlineStr">
        <is>
          <t>B-09, E-06</t>
        </is>
      </c>
      <c r="I42" s="7" t="inlineStr"/>
    </row>
    <row r="43">
      <c r="A43" s="8" t="inlineStr">
        <is>
          <t>D-09</t>
        </is>
      </c>
      <c r="B43" s="7" t="inlineStr">
        <is>
          <t>D. Backend services</t>
        </is>
      </c>
      <c r="C43" s="7" t="inlineStr">
        <is>
          <t>Production config checks</t>
        </is>
      </c>
      <c r="D43" s="7" t="inlineStr">
        <is>
          <t>Refuse to start with simulated scans allowed, local storage, a non-Sydney region or weak secrets.</t>
        </is>
      </c>
      <c r="E43" s="7" t="inlineStr">
        <is>
          <t>Thomas</t>
        </is>
      </c>
      <c r="F43" s="7" t="inlineStr"/>
      <c r="G43" s="7" t="inlineStr">
        <is>
          <t>Not started</t>
        </is>
      </c>
      <c r="H43" s="7" t="inlineStr"/>
      <c r="I43" s="7" t="inlineStr">
        <is>
          <t>config.js defaults to eu-west-2.</t>
        </is>
      </c>
    </row>
    <row r="44">
      <c r="A44" s="8" t="inlineStr">
        <is>
          <t>D-10</t>
        </is>
      </c>
      <c r="B44" s="7" t="inlineStr">
        <is>
          <t>D. Backend services</t>
        </is>
      </c>
      <c r="C44" s="7" t="inlineStr">
        <is>
          <t>Rate limits</t>
        </is>
      </c>
      <c r="D44" s="7" t="inlineStr">
        <is>
          <t>Move sign-in and share-link limits to AWS WAF; the in-memory limiter does not work with more than one server.</t>
        </is>
      </c>
      <c r="E44" s="7" t="inlineStr">
        <is>
          <t>Thomas</t>
        </is>
      </c>
      <c r="F44" s="7" t="inlineStr"/>
      <c r="G44" s="7" t="inlineStr">
        <is>
          <t>Not started</t>
        </is>
      </c>
      <c r="H44" s="7" t="inlineStr">
        <is>
          <t>M-05</t>
        </is>
      </c>
      <c r="I44" s="7" t="inlineStr"/>
    </row>
    <row r="45">
      <c r="A45" s="8" t="inlineStr">
        <is>
          <t>D-11</t>
        </is>
      </c>
      <c r="B45" s="7" t="inlineStr">
        <is>
          <t>D. Backend services</t>
        </is>
      </c>
      <c r="C45" s="7" t="inlineStr">
        <is>
          <t>Container images</t>
        </is>
      </c>
      <c r="D45" s="7" t="inlineStr">
        <is>
          <t>Dockerfiles for the API and the Node workers (non-root, health check).</t>
        </is>
      </c>
      <c r="E45" s="7" t="inlineStr">
        <is>
          <t>Thomas</t>
        </is>
      </c>
      <c r="F45" s="7" t="inlineStr"/>
      <c r="G45" s="7" t="inlineStr">
        <is>
          <t>Not started</t>
        </is>
      </c>
      <c r="H45" s="7" t="inlineStr"/>
      <c r="I45" s="7" t="inlineStr"/>
    </row>
    <row r="46">
      <c r="A46" s="8" t="inlineStr">
        <is>
          <t>E-01</t>
        </is>
      </c>
      <c r="B46" s="7" t="inlineStr">
        <is>
          <t>E. Processing pipeline</t>
        </is>
      </c>
      <c r="C46" s="7" t="inlineStr">
        <is>
          <t>Jobs framework</t>
        </is>
      </c>
      <c r="D46" s="7" t="inlineStr">
        <is>
          <t>Jobs table, outbox, SQS producer, worker process, retries with backoff, dead-letter queue. 3D jobs plug into the same framework.</t>
        </is>
      </c>
      <c r="E46" s="7" t="inlineStr">
        <is>
          <t>Thomas</t>
        </is>
      </c>
      <c r="F46" s="7" t="inlineStr">
        <is>
          <t>Tejesh</t>
        </is>
      </c>
      <c r="G46" s="7" t="inlineStr">
        <is>
          <t>Not started</t>
        </is>
      </c>
      <c r="H46" s="7" t="inlineStr">
        <is>
          <t>C-01, M-04</t>
        </is>
      </c>
      <c r="I46" s="7" t="inlineStr"/>
    </row>
    <row r="47">
      <c r="A47" s="8" t="inlineStr">
        <is>
          <t>E-02</t>
        </is>
      </c>
      <c r="B47" s="7" t="inlineStr">
        <is>
          <t>E. Processing pipeline</t>
        </is>
      </c>
      <c r="C47" s="7" t="inlineStr">
        <is>
          <t>Failed jobs to the reviewer queue</t>
        </is>
      </c>
      <c r="D47" s="7" t="inlineStr">
        <is>
          <t>A job past its retry limit puts the plan in the reviewer queue with a machine-written reason (RDR-08, GEN-05).</t>
        </is>
      </c>
      <c r="E47" s="7" t="inlineStr">
        <is>
          <t>Thomas</t>
        </is>
      </c>
      <c r="F47" s="7" t="inlineStr"/>
      <c r="G47" s="7" t="inlineStr">
        <is>
          <t>Not started</t>
        </is>
      </c>
      <c r="H47" s="7" t="inlineStr">
        <is>
          <t>E-01</t>
        </is>
      </c>
      <c r="I47" s="7" t="inlineStr"/>
    </row>
    <row r="48">
      <c r="A48" s="8" t="inlineStr">
        <is>
          <t>E-03</t>
        </is>
      </c>
      <c r="B48" s="7" t="inlineStr">
        <is>
          <t>E. Processing pipeline</t>
        </is>
      </c>
      <c r="C48" s="7" t="inlineStr">
        <is>
          <t>Plan reading as jobs</t>
        </is>
      </c>
      <c r="D48" s="7" t="inlineStr">
        <is>
          <t>scan.read and drawing.read jobs replace the reading that runs inside POST /complete.</t>
        </is>
      </c>
      <c r="E48" s="7" t="inlineStr">
        <is>
          <t>Thomas</t>
        </is>
      </c>
      <c r="F48" s="7" t="inlineStr"/>
      <c r="G48" s="7" t="inlineStr">
        <is>
          <t>Not started</t>
        </is>
      </c>
      <c r="H48" s="7" t="inlineStr">
        <is>
          <t>E-01</t>
        </is>
      </c>
      <c r="I48" s="7" t="inlineStr">
        <is>
          <t>readPlan runs inside the request today (captures.js).</t>
        </is>
      </c>
    </row>
    <row r="49">
      <c r="A49" s="8" t="inlineStr">
        <is>
          <t>E-04</t>
        </is>
      </c>
      <c r="B49" s="7" t="inlineStr">
        <is>
          <t>E. Processing pipeline</t>
        </is>
      </c>
      <c r="C49" s="7" t="inlineStr">
        <is>
          <t>One plan history</t>
        </is>
      </c>
      <c r="D49" s="7" t="inlineStr">
        <is>
          <t>Use the existing audit log as the single record of every state change with its timestamp; do not add a second history table.</t>
        </is>
      </c>
      <c r="E49" s="7" t="inlineStr">
        <is>
          <t>Thomas</t>
        </is>
      </c>
      <c r="F49" s="7" t="inlineStr"/>
      <c r="G49" s="7" t="inlineStr">
        <is>
          <t>Partly built</t>
        </is>
      </c>
      <c r="H49" s="7" t="inlineStr"/>
      <c r="I49" s="7" t="inlineStr">
        <is>
          <t>The audit log already records captured, produced, claimed, approved, rejected, superseded.</t>
        </is>
      </c>
    </row>
    <row r="50">
      <c r="A50" s="8" t="inlineStr">
        <is>
          <t>E-05</t>
        </is>
      </c>
      <c r="B50" s="7" t="inlineStr">
        <is>
          <t>E. Processing pipeline</t>
        </is>
      </c>
      <c r="C50" s="7" t="inlineStr">
        <is>
          <t>Retention job</t>
        </is>
      </c>
      <c r="D50" s="7" t="inlineStr">
        <is>
          <t>Move raw scans, frames and videos to cold storage 90 days after approval.</t>
        </is>
      </c>
      <c r="E50" s="7" t="inlineStr">
        <is>
          <t>Thomas</t>
        </is>
      </c>
      <c r="F50" s="7" t="inlineStr"/>
      <c r="G50" s="7" t="inlineStr">
        <is>
          <t>Not started</t>
        </is>
      </c>
      <c r="H50" s="7" t="inlineStr">
        <is>
          <t>E-01</t>
        </is>
      </c>
      <c r="I50" s="7" t="inlineStr"/>
    </row>
    <row r="51">
      <c r="A51" s="8" t="inlineStr">
        <is>
          <t>E-06</t>
        </is>
      </c>
      <c r="B51" s="7" t="inlineStr">
        <is>
          <t>E. Processing pipeline</t>
        </is>
      </c>
      <c r="C51" s="7" t="inlineStr">
        <is>
          <t>Account removal job</t>
        </is>
      </c>
      <c r="D51" s="7" t="inlineStr">
        <is>
          <t>Delete rows and S3 objects (scans, videos, frames, generated and machine models) with retries; keep audit rows with ids only.</t>
        </is>
      </c>
      <c r="E51" s="7" t="inlineStr">
        <is>
          <t>Thomas</t>
        </is>
      </c>
      <c r="F51" s="7" t="inlineStr">
        <is>
          <t>Tejesh</t>
        </is>
      </c>
      <c r="G51" s="7" t="inlineStr">
        <is>
          <t>Not started</t>
        </is>
      </c>
      <c r="H51" s="7" t="inlineStr">
        <is>
          <t>E-01, A-05</t>
        </is>
      </c>
      <c r="I51" s="7" t="inlineStr"/>
    </row>
    <row r="52">
      <c r="A52" s="8" t="inlineStr">
        <is>
          <t>F-01</t>
        </is>
      </c>
      <c r="B52" s="7" t="inlineStr">
        <is>
          <t>F. Big rooms: scan to 2D plan</t>
        </is>
      </c>
      <c r="C52" s="7" t="inlineStr">
        <is>
          <t>Sectioned scanning (app)</t>
        </is>
      </c>
      <c r="D52" s="7" t="inlineStr">
        <is>
          <t>iOS 17 RoomPlan multi-room: scan a large floor in sections inside one ARKit session, on one live outline; merge the sections with StructureBuilder.</t>
        </is>
      </c>
      <c r="E52" s="7" t="inlineStr">
        <is>
          <t>Thomas</t>
        </is>
      </c>
      <c r="F52" s="7" t="inlineStr"/>
      <c r="G52" s="7" t="inlineStr">
        <is>
          <t>Not started</t>
        </is>
      </c>
      <c r="H52" s="7" t="inlineStr">
        <is>
          <t>I-01</t>
        </is>
      </c>
      <c r="I52" s="7" t="inlineStr"/>
    </row>
    <row r="53">
      <c r="A53" s="8" t="inlineStr">
        <is>
          <t>F-02</t>
        </is>
      </c>
      <c r="B53" s="7" t="inlineStr">
        <is>
          <t>F. Big rooms: scan to 2D plan</t>
        </is>
      </c>
      <c r="C53" s="7" t="inlineStr">
        <is>
          <t>Mesh and keyframes (app)</t>
        </is>
      </c>
      <c r="D53" s="7" t="inlineStr">
        <is>
          <t>Record the LiDAR mesh and about one keyframe per second with its camera position; blur faces on the phone before saving.</t>
        </is>
      </c>
      <c r="E53" s="7" t="inlineStr">
        <is>
          <t>Thomas</t>
        </is>
      </c>
      <c r="F53" s="7" t="inlineStr"/>
      <c r="G53" s="7" t="inlineStr">
        <is>
          <t>Not started</t>
        </is>
      </c>
      <c r="H53" s="7" t="inlineStr">
        <is>
          <t>F-01</t>
        </is>
      </c>
      <c r="I53" s="7" t="inlineStr"/>
    </row>
    <row r="54">
      <c r="A54" s="8" t="inlineStr">
        <is>
          <t>F-03</t>
        </is>
      </c>
      <c r="B54" s="7" t="inlineStr">
        <is>
          <t>F. Big rooms: scan to 2D plan</t>
        </is>
      </c>
      <c r="C54" s="7" t="inlineStr">
        <is>
          <t>Control distances (app)</t>
        </is>
      </c>
      <c r="D54" s="7" t="inlineStr">
        <is>
          <t>The surveyor laser-measures two or more long distances and marks their ends, so the server can correct scale and report the remaining error.</t>
        </is>
      </c>
      <c r="E54" s="7" t="inlineStr">
        <is>
          <t>Thomas</t>
        </is>
      </c>
      <c r="F54" s="7" t="inlineStr"/>
      <c r="G54" s="7" t="inlineStr">
        <is>
          <t>Not started</t>
        </is>
      </c>
      <c r="H54" s="7" t="inlineStr"/>
      <c r="I54" s="7" t="inlineStr"/>
    </row>
    <row r="55">
      <c r="A55" s="8" t="inlineStr">
        <is>
          <t>F-04</t>
        </is>
      </c>
      <c r="B55" s="7" t="inlineStr">
        <is>
          <t>F. Big rooms: scan to 2D plan</t>
        </is>
      </c>
      <c r="C55" s="7" t="inlineStr">
        <is>
          <t>Size limit in the app</t>
        </is>
      </c>
      <c r="D55" s="7" t="inlineStr">
        <is>
          <t>Show the scanned extent live; past the measured limit, require a new section before finishing.</t>
        </is>
      </c>
      <c r="E55" s="7" t="inlineStr">
        <is>
          <t>Thomas</t>
        </is>
      </c>
      <c r="F55" s="7" t="inlineStr"/>
      <c r="G55" s="7" t="inlineStr">
        <is>
          <t>Not started</t>
        </is>
      </c>
      <c r="H55" s="7" t="inlineStr">
        <is>
          <t>F-08, O-04</t>
        </is>
      </c>
      <c r="I55" s="7" t="inlineStr"/>
    </row>
    <row r="56">
      <c r="A56" s="8" t="inlineStr">
        <is>
          <t>F-05</t>
        </is>
      </c>
      <c r="B56" s="7" t="inlineStr">
        <is>
          <t>F. Big rooms: scan to 2D plan</t>
        </is>
      </c>
      <c r="C56" s="7" t="inlineStr">
        <is>
          <t>Scan reader v2</t>
        </is>
      </c>
      <c r="D56" s="7" t="inlineStr">
        <is>
          <t>Read the merged sections: walls with height; openings with height and sill, attached through RoomPlan's parent wall; the floor outline; machines. Apply control distances and store the remaining error.</t>
        </is>
      </c>
      <c r="E56" s="7" t="inlineStr">
        <is>
          <t>Thomas</t>
        </is>
      </c>
      <c r="F56" s="7" t="inlineStr">
        <is>
          <t>Tejesh</t>
        </is>
      </c>
      <c r="G56" s="7" t="inlineStr">
        <is>
          <t>Not started</t>
        </is>
      </c>
      <c r="H56" s="7" t="inlineStr">
        <is>
          <t>A-01, F-01</t>
        </is>
      </c>
      <c r="I56" s="7" t="inlineStr"/>
    </row>
    <row r="57">
      <c r="A57" s="8" t="inlineStr">
        <is>
          <t>F-06</t>
        </is>
      </c>
      <c r="B57" s="7" t="inlineStr">
        <is>
          <t>F. Big rooms: scan to 2D plan</t>
        </is>
      </c>
      <c r="C57" s="7" t="inlineStr">
        <is>
          <t>Machines from the mesh</t>
        </is>
      </c>
      <c r="D57" s="7" t="inlineStr">
        <is>
          <t>Find floor-standing objects RoomPlan misses (it only knows household furniture) and give each a box with height.</t>
        </is>
      </c>
      <c r="E57" s="7" t="inlineStr">
        <is>
          <t>Thomas</t>
        </is>
      </c>
      <c r="F57" s="7" t="inlineStr"/>
      <c r="G57" s="7" t="inlineStr">
        <is>
          <t>Not started</t>
        </is>
      </c>
      <c r="H57" s="7" t="inlineStr">
        <is>
          <t>F-02</t>
        </is>
      </c>
      <c r="I57" s="7" t="inlineStr"/>
    </row>
    <row r="58">
      <c r="A58" s="8" t="inlineStr">
        <is>
          <t>F-07</t>
        </is>
      </c>
      <c r="B58" s="7" t="inlineStr">
        <is>
          <t>F. Big rooms: scan to 2D plan</t>
        </is>
      </c>
      <c r="C58" s="7" t="inlineStr">
        <is>
          <t>Machine type suggestions</t>
        </is>
      </c>
      <c r="D58" s="7" t="inlineStr">
        <is>
          <t>Crop the keyframes that see each machine and suggest a type with a vision model hosted in Australia; the surveyor or reviewer confirms.</t>
        </is>
      </c>
      <c r="E58" s="7" t="inlineStr">
        <is>
          <t>Thomas</t>
        </is>
      </c>
      <c r="F58" s="7" t="inlineStr"/>
      <c r="G58" s="7" t="inlineStr">
        <is>
          <t>Not started</t>
        </is>
      </c>
      <c r="H58" s="7" t="inlineStr">
        <is>
          <t>F-02</t>
        </is>
      </c>
      <c r="I58" s="7" t="inlineStr"/>
    </row>
    <row r="59">
      <c r="A59" s="8" t="inlineStr">
        <is>
          <t>F-08</t>
        </is>
      </c>
      <c r="B59" s="7" t="inlineStr">
        <is>
          <t>F. Big rooms: scan to 2D plan</t>
        </is>
      </c>
      <c r="C59" s="7" t="inlineStr">
        <is>
          <t>Accuracy test</t>
        </is>
      </c>
      <c r="D59" s="7" t="inlineStr">
        <is>
          <t>On two laser-measured gyms, scan growing areas (one section, two, four, whole floor); measure the error on every control distance; report the largest size within the target.</t>
        </is>
      </c>
      <c r="E59" s="7" t="inlineStr">
        <is>
          <t>Thomas</t>
        </is>
      </c>
      <c r="F59" s="7" t="inlineStr"/>
      <c r="G59" s="7" t="inlineStr">
        <is>
          <t>Not started</t>
        </is>
      </c>
      <c r="H59" s="7" t="inlineStr">
        <is>
          <t>F-01, F-03, O-05</t>
        </is>
      </c>
      <c r="I59" s="7" t="inlineStr"/>
    </row>
    <row r="60">
      <c r="A60" s="8" t="inlineStr">
        <is>
          <t>F-09</t>
        </is>
      </c>
      <c r="B60" s="7" t="inlineStr">
        <is>
          <t>F. Big rooms: scan to 2D plan</t>
        </is>
      </c>
      <c r="C60" s="7" t="inlineStr">
        <is>
          <t>Drawing reader</t>
        </is>
      </c>
      <c r="D60" s="7" t="inlineStr">
        <is>
          <t>Automatic reading of uploaded drawings (RDR-05); until then the reviewer traces them.</t>
        </is>
      </c>
      <c r="E60" s="7" t="inlineStr">
        <is>
          <t>Thomas</t>
        </is>
      </c>
      <c r="F60" s="7" t="inlineStr"/>
      <c r="G60" s="7" t="inlineStr">
        <is>
          <t>Not started</t>
        </is>
      </c>
      <c r="H60" s="7" t="inlineStr"/>
      <c r="I60" s="7" t="inlineStr"/>
    </row>
    <row r="61">
      <c r="A61" s="8" t="inlineStr">
        <is>
          <t>G-01</t>
        </is>
      </c>
      <c r="B61" s="7" t="inlineStr">
        <is>
          <t>G. 2D plan contents (plan format v2)</t>
        </is>
      </c>
      <c r="C61" s="7" t="inlineStr">
        <is>
          <t>Define the 3D contract</t>
        </is>
      </c>
      <c r="D61" s="7" t="inlineStr">
        <is>
          <t>Write down every 2D plan field the 3D generator relies on, its unit and what happens when it is missing (section 9).</t>
        </is>
      </c>
      <c r="E61" s="7" t="inlineStr">
        <is>
          <t>Tejesh</t>
        </is>
      </c>
      <c r="F61" s="7" t="inlineStr">
        <is>
          <t>Thomas</t>
        </is>
      </c>
      <c r="G61" s="7" t="inlineStr">
        <is>
          <t>Partly built</t>
        </is>
      </c>
      <c r="H61" s="7" t="inlineStr"/>
      <c r="I61" s="7" t="inlineStr">
        <is>
          <t>gymplan/3 in shared/plan/model.js already carries spaces, ceilings, wall kinds, curves, mirror spans, opening kinds and hinges, beams, level changes, voids, machine facing and model reference. Write down units and missing-value rules.</t>
        </is>
      </c>
    </row>
    <row r="62">
      <c r="A62" s="8" t="inlineStr">
        <is>
          <t>G-02</t>
        </is>
      </c>
      <c r="B62" s="7" t="inlineStr">
        <is>
          <t>G. 2D plan contents (plan format v2)</t>
        </is>
      </c>
      <c r="C62" s="7" t="inlineStr">
        <is>
          <t>Spaces</t>
        </is>
      </c>
      <c r="D62" s="7" t="inlineStr">
        <is>
          <t>Named spaces with outline, kind, floor finish, ceiling height and ceiling zones.</t>
        </is>
      </c>
      <c r="E62" s="7" t="inlineStr">
        <is>
          <t>Thomas</t>
        </is>
      </c>
      <c r="F62" s="7" t="inlineStr">
        <is>
          <t>Tejesh</t>
        </is>
      </c>
      <c r="G62" s="7" t="inlineStr">
        <is>
          <t>Not started</t>
        </is>
      </c>
      <c r="H62" s="7" t="inlineStr">
        <is>
          <t>G-01</t>
        </is>
      </c>
      <c r="I62" s="7" t="inlineStr"/>
    </row>
    <row r="63">
      <c r="A63" s="8" t="inlineStr">
        <is>
          <t>G-03</t>
        </is>
      </c>
      <c r="B63" s="7" t="inlineStr">
        <is>
          <t>G. 2D plan contents (plan format v2)</t>
        </is>
      </c>
      <c r="C63" s="7" t="inlineStr">
        <is>
          <t>Wall details</t>
        </is>
      </c>
      <c r="D63" s="7" t="inlineStr">
        <is>
          <t>Wall kind (exterior, interior, partition, glass), curved walls, mirror spans along a wall with bottom and top heights.</t>
        </is>
      </c>
      <c r="E63" s="7" t="inlineStr">
        <is>
          <t>Thomas</t>
        </is>
      </c>
      <c r="F63" s="7" t="inlineStr">
        <is>
          <t>Tejesh</t>
        </is>
      </c>
      <c r="G63" s="7" t="inlineStr">
        <is>
          <t>Not started</t>
        </is>
      </c>
      <c r="H63" s="7" t="inlineStr">
        <is>
          <t>G-01</t>
        </is>
      </c>
      <c r="I63" s="7" t="inlineStr"/>
    </row>
    <row r="64">
      <c r="A64" s="8" t="inlineStr">
        <is>
          <t>G-04</t>
        </is>
      </c>
      <c r="B64" s="7" t="inlineStr">
        <is>
          <t>G. 2D plan contents (plan format v2)</t>
        </is>
      </c>
      <c r="C64" s="7" t="inlineStr">
        <is>
          <t>Opening details</t>
        </is>
      </c>
      <c r="D64" s="7" t="inlineStr">
        <is>
          <t>Opening kinds (single, double and sliding door, roller shutter, window, fixed glazing), number of leaves, hinge side, the space a door swings into.</t>
        </is>
      </c>
      <c r="E64" s="7" t="inlineStr">
        <is>
          <t>Thomas</t>
        </is>
      </c>
      <c r="F64" s="7" t="inlineStr">
        <is>
          <t>Tejesh</t>
        </is>
      </c>
      <c r="G64" s="7" t="inlineStr">
        <is>
          <t>Partly built</t>
        </is>
      </c>
      <c r="H64" s="7" t="inlineStr">
        <is>
          <t>G-01</t>
        </is>
      </c>
      <c r="I64" s="7" t="inlineStr">
        <is>
          <t>gymplan/2 has height, sill and swing.</t>
        </is>
      </c>
    </row>
    <row r="65">
      <c r="A65" s="8" t="inlineStr">
        <is>
          <t>G-05</t>
        </is>
      </c>
      <c r="B65" s="7" t="inlineStr">
        <is>
          <t>G. 2D plan contents (plan format v2)</t>
        </is>
      </c>
      <c r="C65" s="7" t="inlineStr">
        <is>
          <t>Structure</t>
        </is>
      </c>
      <c r="D65" s="7" t="inlineStr">
        <is>
          <t>Column shape and height; beams and bulkheads; level changes (steps, platforms, ramps); stair, lift and void outlines with rails.</t>
        </is>
      </c>
      <c r="E65" s="7" t="inlineStr">
        <is>
          <t>Thomas</t>
        </is>
      </c>
      <c r="F65" s="7" t="inlineStr">
        <is>
          <t>Tejesh</t>
        </is>
      </c>
      <c r="G65" s="7" t="inlineStr">
        <is>
          <t>Not started</t>
        </is>
      </c>
      <c r="H65" s="7" t="inlineStr">
        <is>
          <t>G-01</t>
        </is>
      </c>
      <c r="I65" s="7" t="inlineStr"/>
    </row>
    <row r="66">
      <c r="A66" s="8" t="inlineStr">
        <is>
          <t>G-06</t>
        </is>
      </c>
      <c r="B66" s="7" t="inlineStr">
        <is>
          <t>G. 2D plan contents (plan format v2)</t>
        </is>
      </c>
      <c r="C66" s="7" t="inlineStr">
        <is>
          <t>Machine fields</t>
        </is>
      </c>
      <c r="D66" s="7" t="inlineStr">
        <is>
          <t>Facing direction (front), model reference and 'same as' link.</t>
        </is>
      </c>
      <c r="E66" s="7" t="inlineStr">
        <is>
          <t>Thomas</t>
        </is>
      </c>
      <c r="F66" s="7" t="inlineStr">
        <is>
          <t>Tejesh</t>
        </is>
      </c>
      <c r="G66" s="7" t="inlineStr">
        <is>
          <t>Not started</t>
        </is>
      </c>
      <c r="H66" s="7" t="inlineStr">
        <is>
          <t>G-01</t>
        </is>
      </c>
      <c r="I66" s="7" t="inlineStr"/>
    </row>
    <row r="67">
      <c r="A67" s="8" t="inlineStr">
        <is>
          <t>G-07</t>
        </is>
      </c>
      <c r="B67" s="7" t="inlineStr">
        <is>
          <t>G. 2D plan contents (plan format v2)</t>
        </is>
      </c>
      <c r="C67" s="7" t="inlineStr">
        <is>
          <t>Validation v2</t>
        </is>
      </c>
      <c r="D67" s="7" t="inlineStr">
        <is>
          <t>Spaces cover the floor without gaps or overlaps; openings fit their wall's length and height; doors join two spaces; machines and columns sit inside spaces.</t>
        </is>
      </c>
      <c r="E67" s="7" t="inlineStr">
        <is>
          <t>Thomas</t>
        </is>
      </c>
      <c r="F67" s="7" t="inlineStr"/>
      <c r="G67" s="7" t="inlineStr">
        <is>
          <t>Not started</t>
        </is>
      </c>
      <c r="H67" s="7" t="inlineStr">
        <is>
          <t>G-02</t>
        </is>
      </c>
      <c r="I67" s="7" t="inlineStr"/>
    </row>
    <row r="68">
      <c r="A68" s="8" t="inlineStr">
        <is>
          <t>G-08</t>
        </is>
      </c>
      <c r="B68" s="7" t="inlineStr">
        <is>
          <t>G. 2D plan contents (plan format v2)</t>
        </is>
      </c>
      <c r="C68" s="7" t="inlineStr">
        <is>
          <t>Upgrade older plans</t>
        </is>
      </c>
      <c r="D68" s="7" t="inlineStr">
        <is>
          <t>Convert gymplan/1 and early gymplan/2 plans, flagging every default that was filled in.</t>
        </is>
      </c>
      <c r="E68" s="7" t="inlineStr">
        <is>
          <t>Thomas</t>
        </is>
      </c>
      <c r="F68" s="7" t="inlineStr"/>
      <c r="G68" s="7" t="inlineStr">
        <is>
          <t>Partly built</t>
        </is>
      </c>
      <c r="H68" s="7" t="inlineStr">
        <is>
          <t>G-02</t>
        </is>
      </c>
      <c r="I68" s="7" t="inlineStr">
        <is>
          <t>upgradePlan exists for v1 to v2.</t>
        </is>
      </c>
    </row>
    <row r="69">
      <c r="A69" s="8" t="inlineStr">
        <is>
          <t>H-01</t>
        </is>
      </c>
      <c r="B69" s="7" t="inlineStr">
        <is>
          <t>H. Reviewer editor (web, 2D)</t>
        </is>
      </c>
      <c r="C69" s="7" t="inlineStr">
        <is>
          <t>Editor tools for v2</t>
        </is>
      </c>
      <c r="D69" s="7" t="inlineStr">
        <is>
          <t>Draw and edit spaces and ceilings, wall kind, mirror spans, opening kinds and hinge, level changes, stair and lift outlines, machine facing.</t>
        </is>
      </c>
      <c r="E69" s="7" t="inlineStr">
        <is>
          <t>Thomas</t>
        </is>
      </c>
      <c r="F69" s="7" t="inlineStr"/>
      <c r="G69" s="7" t="inlineStr">
        <is>
          <t>Not started</t>
        </is>
      </c>
      <c r="H69" s="7" t="inlineStr">
        <is>
          <t>G-02 to G-06</t>
        </is>
      </c>
      <c r="I69" s="7" t="inlineStr">
        <is>
          <t>Wall height and thickness, opening height, sill and swing, machine naming and clearances are already editable.</t>
        </is>
      </c>
    </row>
    <row r="70">
      <c r="A70" s="8" t="inlineStr">
        <is>
          <t>H-02</t>
        </is>
      </c>
      <c r="B70" s="7" t="inlineStr">
        <is>
          <t>H. Reviewer editor (web, 2D)</t>
        </is>
      </c>
      <c r="C70" s="7" t="inlineStr">
        <is>
          <t>Unplaced machines</t>
        </is>
      </c>
      <c r="D70" s="7" t="inlineStr">
        <is>
          <t>List machines without a position and let the reviewer place them.</t>
        </is>
      </c>
      <c r="E70" s="7" t="inlineStr">
        <is>
          <t>Thomas</t>
        </is>
      </c>
      <c r="F70" s="7" t="inlineStr"/>
      <c r="G70" s="7" t="inlineStr">
        <is>
          <t>Not started</t>
        </is>
      </c>
      <c r="H70" s="7" t="inlineStr">
        <is>
          <t>D-03</t>
        </is>
      </c>
      <c r="I70" s="7" t="inlineStr"/>
    </row>
    <row r="71">
      <c r="A71" s="8" t="inlineStr">
        <is>
          <t>H-03</t>
        </is>
      </c>
      <c r="B71" s="7" t="inlineStr">
        <is>
          <t>H. Reviewer editor (web, 2D)</t>
        </is>
      </c>
      <c r="C71" s="7" t="inlineStr">
        <is>
          <t>Scan mesh and keyframes</t>
        </is>
      </c>
      <c r="D71" s="7" t="inlineStr">
        <is>
          <t>Show the scan mesh under the plan, and the keyframes for a selected machine.</t>
        </is>
      </c>
      <c r="E71" s="7" t="inlineStr">
        <is>
          <t>Thomas</t>
        </is>
      </c>
      <c r="F71" s="7" t="inlineStr"/>
      <c r="G71" s="7" t="inlineStr">
        <is>
          <t>Not started</t>
        </is>
      </c>
      <c r="H71" s="7" t="inlineStr">
        <is>
          <t>F-02</t>
        </is>
      </c>
      <c r="I71" s="7" t="inlineStr"/>
    </row>
    <row r="72">
      <c r="A72" s="8" t="inlineStr">
        <is>
          <t>H-04</t>
        </is>
      </c>
      <c r="B72" s="7" t="inlineStr">
        <is>
          <t>H. Reviewer editor (web, 2D)</t>
        </is>
      </c>
      <c r="C72" s="7" t="inlineStr">
        <is>
          <t>Translation and accessibility</t>
        </is>
      </c>
      <c r="D72" s="7" t="inlineStr">
        <is>
          <t>Move strings out of the code for translation; WCAG 2.1 AA on the status page and the reviewer queue.</t>
        </is>
      </c>
      <c r="E72" s="7" t="inlineStr">
        <is>
          <t>Thomas</t>
        </is>
      </c>
      <c r="F72" s="7" t="inlineStr"/>
      <c r="G72" s="7" t="inlineStr">
        <is>
          <t>Not started</t>
        </is>
      </c>
      <c r="H72" s="7" t="inlineStr"/>
      <c r="I72" s="7" t="inlineStr"/>
    </row>
    <row r="73">
      <c r="A73" s="8" t="inlineStr">
        <is>
          <t>H-05</t>
        </is>
      </c>
      <c r="B73" s="7" t="inlineStr">
        <is>
          <t>H. Reviewer editor (web, 2D)</t>
        </is>
      </c>
      <c r="C73" s="7" t="inlineStr">
        <is>
          <t>Web build config</t>
        </is>
      </c>
      <c r="D73" s="7" t="inlineStr">
        <is>
          <t>API URL, Hub client id and content security policy for the GoalCert subdomain.</t>
        </is>
      </c>
      <c r="E73" s="7" t="inlineStr">
        <is>
          <t>Thomas</t>
        </is>
      </c>
      <c r="F73" s="7" t="inlineStr"/>
      <c r="G73" s="7" t="inlineStr">
        <is>
          <t>Not started</t>
        </is>
      </c>
      <c r="H73" s="7" t="inlineStr">
        <is>
          <t>O-02</t>
        </is>
      </c>
      <c r="I73" s="7" t="inlineStr"/>
    </row>
    <row r="74">
      <c r="A74" s="8" t="inlineStr">
        <is>
          <t>I-01</t>
        </is>
      </c>
      <c r="B74" s="7" t="inlineStr">
        <is>
          <t>I. iPhone app</t>
        </is>
      </c>
      <c r="C74" s="7" t="inlineStr">
        <is>
          <t>iOS 17 target</t>
        </is>
      </c>
      <c r="D74" s="7" t="inlineStr">
        <is>
          <t>Raise the app and plugin to iOS 17 and remove the iOS 16 branches.</t>
        </is>
      </c>
      <c r="E74" s="7" t="inlineStr">
        <is>
          <t>Thomas</t>
        </is>
      </c>
      <c r="F74" s="7" t="inlineStr"/>
      <c r="G74" s="7" t="inlineStr">
        <is>
          <t>Not started</t>
        </is>
      </c>
      <c r="H74" s="7" t="inlineStr"/>
      <c r="I74" s="7" t="inlineStr">
        <is>
          <t>Still 14.0 in the project and the podspec.</t>
        </is>
      </c>
    </row>
    <row r="75">
      <c r="A75" s="8" t="inlineStr">
        <is>
          <t>I-02</t>
        </is>
      </c>
      <c r="B75" s="7" t="inlineStr">
        <is>
          <t>I. iPhone app</t>
        </is>
      </c>
      <c r="C75" s="7" t="inlineStr">
        <is>
          <t>App identity and TestFlight</t>
        </is>
      </c>
      <c r="D75" s="7" t="inlineStr">
        <is>
          <t>Real bundle id, signing team, name and icon; TestFlight builds.</t>
        </is>
      </c>
      <c r="E75" s="7" t="inlineStr">
        <is>
          <t>Thomas</t>
        </is>
      </c>
      <c r="F75" s="7" t="inlineStr"/>
      <c r="G75" s="7" t="inlineStr">
        <is>
          <t>Not started</t>
        </is>
      </c>
      <c r="H75" s="7" t="inlineStr">
        <is>
          <t>O-08</t>
        </is>
      </c>
      <c r="I75" s="7" t="inlineStr">
        <is>
          <t>Bundle id is com.example.mobile.</t>
        </is>
      </c>
    </row>
    <row r="76">
      <c r="A76" s="8" t="inlineStr">
        <is>
          <t>I-03</t>
        </is>
      </c>
      <c r="B76" s="7" t="inlineStr">
        <is>
          <t>I. iPhone app</t>
        </is>
      </c>
      <c r="C76" s="7" t="inlineStr">
        <is>
          <t>Block non-LiDAR devices at launch</t>
        </is>
      </c>
      <c r="D76" s="7" t="inlineStr">
        <is>
          <t>Check for LiDAR when the app opens (APP-01), not only on the New capture screen.</t>
        </is>
      </c>
      <c r="E76" s="7" t="inlineStr">
        <is>
          <t>Thomas</t>
        </is>
      </c>
      <c r="F76" s="7" t="inlineStr"/>
      <c r="G76" s="7" t="inlineStr">
        <is>
          <t>Not started</t>
        </is>
      </c>
      <c r="H76" s="7" t="inlineStr"/>
      <c r="I76" s="7" t="inlineStr"/>
    </row>
    <row r="77">
      <c r="A77" s="8" t="inlineStr">
        <is>
          <t>I-04</t>
        </is>
      </c>
      <c r="B77" s="7" t="inlineStr">
        <is>
          <t>I. iPhone app</t>
        </is>
      </c>
      <c r="C77" s="7" t="inlineStr">
        <is>
          <t>Offline start</t>
        </is>
      </c>
      <c r="D77" s="7" t="inlineStr">
        <is>
          <t>Cached session and facility list so a capture can start with no signal (APP-13).</t>
        </is>
      </c>
      <c r="E77" s="7" t="inlineStr">
        <is>
          <t>Thomas</t>
        </is>
      </c>
      <c r="F77" s="7" t="inlineStr"/>
      <c r="G77" s="7" t="inlineStr">
        <is>
          <t>Not started</t>
        </is>
      </c>
      <c r="H77" s="7" t="inlineStr">
        <is>
          <t>B-08</t>
        </is>
      </c>
      <c r="I77" s="7" t="inlineStr"/>
    </row>
    <row r="78">
      <c r="A78" s="8" t="inlineStr">
        <is>
          <t>I-05</t>
        </is>
      </c>
      <c r="B78" s="7" t="inlineStr">
        <is>
          <t>I. iPhone app</t>
        </is>
      </c>
      <c r="C78" s="7" t="inlineStr">
        <is>
          <t>ARKit walk-around recording</t>
        </is>
      </c>
      <c r="D78" s="7" t="inlineStr">
        <is>
          <t>Record each machine's 360° walk-around with ARKit: keep a normal video for the reviewer plus frames with camera position and LiDAR depth, in the format the reconstruction reads.</t>
        </is>
      </c>
      <c r="E78" s="7" t="inlineStr">
        <is>
          <t>Thomas</t>
        </is>
      </c>
      <c r="F78" s="7" t="inlineStr">
        <is>
          <t>Tejesh</t>
        </is>
      </c>
      <c r="G78" s="7" t="inlineStr">
        <is>
          <t>Not started</t>
        </is>
      </c>
      <c r="H78" s="7" t="inlineStr">
        <is>
          <t>L-01</t>
        </is>
      </c>
      <c r="I78" s="7" t="inlineStr">
        <is>
          <t>Today it is a plain camera video with no depth or positions.</t>
        </is>
      </c>
    </row>
    <row r="79">
      <c r="A79" s="8" t="inlineStr">
        <is>
          <t>I-06</t>
        </is>
      </c>
      <c r="B79" s="7" t="inlineStr">
        <is>
          <t>I. iPhone app</t>
        </is>
      </c>
      <c r="C79" s="7" t="inlineStr">
        <is>
          <t>Walk-around coverage guide</t>
        </is>
      </c>
      <c r="D79" s="7" t="inlineStr">
        <is>
          <t>Show how far round the machine the surveyor has walked and which heights are missing.</t>
        </is>
      </c>
      <c r="E79" s="7" t="inlineStr">
        <is>
          <t>Thomas</t>
        </is>
      </c>
      <c r="F79" s="7" t="inlineStr"/>
      <c r="G79" s="7" t="inlineStr">
        <is>
          <t>Partly built</t>
        </is>
      </c>
      <c r="H79" s="7" t="inlineStr">
        <is>
          <t>I-05</t>
        </is>
      </c>
      <c r="I79" s="7" t="inlineStr">
        <is>
          <t>Only the simulated demo animates progress.</t>
        </is>
      </c>
    </row>
    <row r="80">
      <c r="A80" s="8" t="inlineStr">
        <is>
          <t>J-01</t>
        </is>
      </c>
      <c r="B80" s="7" t="inlineStr">
        <is>
          <t>J. 2D to 3D generation</t>
        </is>
      </c>
      <c r="C80" s="7" t="inlineStr">
        <is>
          <t>Generator worker</t>
        </is>
      </c>
      <c r="D80" s="7" t="inlineStr">
        <is>
          <t>plan.generate job in the backend workers: read the approved plan, build the level model, store it, record it in generated_models. The same plan and generator version always give the same file.</t>
        </is>
      </c>
      <c r="E80" s="7" t="inlineStr">
        <is>
          <t>Tejesh</t>
        </is>
      </c>
      <c r="F80" s="7" t="inlineStr"/>
      <c r="G80" s="7" t="inlineStr">
        <is>
          <t>Partly built</t>
        </is>
      </c>
      <c r="H80" s="7" t="inlineStr">
        <is>
          <t>E-01, G-01, C-15</t>
        </is>
      </c>
      <c r="I80" s="7" t="inlineStr">
        <is>
          <t>Hook exists: setGenerator() and the plan.generate handler in backend/src/jobs/handlers.js; a placeholder stores no file.</t>
        </is>
      </c>
    </row>
    <row r="81">
      <c r="A81" s="8" t="inlineStr">
        <is>
          <t>J-02</t>
        </is>
      </c>
      <c r="B81" s="7" t="inlineStr">
        <is>
          <t>J. 2D to 3D generation</t>
        </is>
      </c>
      <c r="C81" s="7" t="inlineStr">
        <is>
          <t>Walls and openings</t>
        </is>
      </c>
      <c r="D81" s="7" t="inlineStr">
        <is>
          <t>Walls at their measured thickness and height, including curves; openings cut at their real sill and head; door leaves by kind, hinge and swing; glazing.</t>
        </is>
      </c>
      <c r="E81" s="7" t="inlineStr">
        <is>
          <t>Tejesh</t>
        </is>
      </c>
      <c r="F81" s="7" t="inlineStr"/>
      <c r="G81" s="7" t="inlineStr">
        <is>
          <t>Not started</t>
        </is>
      </c>
      <c r="H81" s="7" t="inlineStr">
        <is>
          <t>J-01, G-03, G-04</t>
        </is>
      </c>
      <c r="I81" s="7" t="inlineStr">
        <is>
          <t>Today: 15 cm walls, 2.1 m door head, 0.9–2.1 m windows for every plan.</t>
        </is>
      </c>
    </row>
    <row r="82">
      <c r="A82" s="8" t="inlineStr">
        <is>
          <t>J-03</t>
        </is>
      </c>
      <c r="B82" s="7" t="inlineStr">
        <is>
          <t>J. 2D to 3D generation</t>
        </is>
      </c>
      <c r="C82" s="7" t="inlineStr">
        <is>
          <t>Spaces, floors and ceilings</t>
        </is>
      </c>
      <c r="D82" s="7" t="inlineStr">
        <is>
          <t>Floor and ceiling per space; ceiling zones; beams and bulkheads; steps, platforms and ramps.</t>
        </is>
      </c>
      <c r="E82" s="7" t="inlineStr">
        <is>
          <t>Tejesh</t>
        </is>
      </c>
      <c r="F82" s="7" t="inlineStr"/>
      <c r="G82" s="7" t="inlineStr">
        <is>
          <t>Not started</t>
        </is>
      </c>
      <c r="H82" s="7" t="inlineStr">
        <is>
          <t>J-01, G-02, G-05</t>
        </is>
      </c>
      <c r="I82" s="7" t="inlineStr"/>
    </row>
    <row r="83">
      <c r="A83" s="8" t="inlineStr">
        <is>
          <t>J-04</t>
        </is>
      </c>
      <c r="B83" s="7" t="inlineStr">
        <is>
          <t>J. 2D to 3D generation</t>
        </is>
      </c>
      <c r="C83" s="7" t="inlineStr">
        <is>
          <t>Stairs, lifts, columns and mirrors</t>
        </is>
      </c>
      <c r="D83" s="7" t="inlineStr">
        <is>
          <t>Voids with rails, columns by shape and height, reflective mirror spans.</t>
        </is>
      </c>
      <c r="E83" s="7" t="inlineStr">
        <is>
          <t>Tejesh</t>
        </is>
      </c>
      <c r="F83" s="7" t="inlineStr"/>
      <c r="G83" s="7" t="inlineStr">
        <is>
          <t>Not started</t>
        </is>
      </c>
      <c r="H83" s="7" t="inlineStr">
        <is>
          <t>J-01, G-03, G-05</t>
        </is>
      </c>
      <c r="I83" s="7" t="inlineStr"/>
    </row>
    <row r="84">
      <c r="A84" s="8" t="inlineStr">
        <is>
          <t>J-05</t>
        </is>
      </c>
      <c r="B84" s="7" t="inlineStr">
        <is>
          <t>J. 2D to 3D generation</t>
        </is>
      </c>
      <c r="C84" s="7" t="inlineStr">
        <is>
          <t>Default finishes</t>
        </is>
      </c>
      <c r="D84" s="7" t="inlineStr">
        <is>
          <t>One finish set for floor, wall and ceiling (GEN-03), with floor finish per space.</t>
        </is>
      </c>
      <c r="E84" s="7" t="inlineStr">
        <is>
          <t>Tejesh</t>
        </is>
      </c>
      <c r="F84" s="7" t="inlineStr"/>
      <c r="G84" s="7" t="inlineStr">
        <is>
          <t>Not started</t>
        </is>
      </c>
      <c r="H84" s="7" t="inlineStr">
        <is>
          <t>J-01</t>
        </is>
      </c>
      <c r="I84" s="7" t="inlineStr"/>
    </row>
    <row r="85">
      <c r="A85" s="8" t="inlineStr">
        <is>
          <t>J-06</t>
        </is>
      </c>
      <c r="B85" s="7" t="inlineStr">
        <is>
          <t>J. 2D to 3D generation</t>
        </is>
      </c>
      <c r="C85" s="7" t="inlineStr">
        <is>
          <t>Machines in the level</t>
        </is>
      </c>
      <c r="D85" s="7" t="inlineStr">
        <is>
          <t>Place each approved machine model at its position and facing; a plain box where there is no model; repeated models instanced.</t>
        </is>
      </c>
      <c r="E85" s="7" t="inlineStr">
        <is>
          <t>Tejesh</t>
        </is>
      </c>
      <c r="F85" s="7" t="inlineStr"/>
      <c r="G85" s="7" t="inlineStr">
        <is>
          <t>Not started</t>
        </is>
      </c>
      <c r="H85" s="7" t="inlineStr">
        <is>
          <t>J-01, L-07</t>
        </is>
      </c>
      <c r="I85" s="7" t="inlineStr"/>
    </row>
    <row r="86">
      <c r="A86" s="8" t="inlineStr">
        <is>
          <t>J-07</t>
        </is>
      </c>
      <c r="B86" s="7" t="inlineStr">
        <is>
          <t>J. 2D to 3D generation</t>
        </is>
      </c>
      <c r="C86" s="7" t="inlineStr">
        <is>
          <t>Tags and zones</t>
        </is>
      </c>
      <c r="D86" s="7" t="inlineStr">
        <is>
          <t>Fire exit signs, power points and the no-build zone overlay.</t>
        </is>
      </c>
      <c r="E86" s="7" t="inlineStr">
        <is>
          <t>Tejesh</t>
        </is>
      </c>
      <c r="F86" s="7" t="inlineStr"/>
      <c r="G86" s="7" t="inlineStr">
        <is>
          <t>Not started</t>
        </is>
      </c>
      <c r="H86" s="7" t="inlineStr">
        <is>
          <t>J-01</t>
        </is>
      </c>
      <c r="I86" s="7" t="inlineStr"/>
    </row>
    <row r="87">
      <c r="A87" s="8" t="inlineStr">
        <is>
          <t>J-08</t>
        </is>
      </c>
      <c r="B87" s="7" t="inlineStr">
        <is>
          <t>J. 2D to 3D generation</t>
        </is>
      </c>
      <c r="C87" s="7" t="inlineStr">
        <is>
          <t>Output format and budget</t>
        </is>
      </c>
      <c r="D87" s="7" t="inlineStr">
        <is>
          <t>GLB with compressed geometry (meshopt or Draco) and KTX2 textures, 25 MB or less per level including machines; collision and start-position data alongside.</t>
        </is>
      </c>
      <c r="E87" s="7" t="inlineStr">
        <is>
          <t>Tejesh</t>
        </is>
      </c>
      <c r="F87" s="7" t="inlineStr"/>
      <c r="G87" s="7" t="inlineStr">
        <is>
          <t>Not started</t>
        </is>
      </c>
      <c r="H87" s="7" t="inlineStr">
        <is>
          <t>J-01</t>
        </is>
      </c>
      <c r="I87" s="7" t="inlineStr"/>
    </row>
    <row r="88">
      <c r="A88" s="8" t="inlineStr">
        <is>
          <t>J-09</t>
        </is>
      </c>
      <c r="B88" s="7" t="inlineStr">
        <is>
          <t>J. 2D to 3D generation</t>
        </is>
      </c>
      <c r="C88" s="7" t="inlineStr">
        <is>
          <t>Generation failures</t>
        </is>
      </c>
      <c r="D88" s="7" t="inlineStr">
        <is>
          <t>Mark the job failed with a clear reason so the plan returns to the reviewer queue.</t>
        </is>
      </c>
      <c r="E88" s="7" t="inlineStr">
        <is>
          <t>Tejesh</t>
        </is>
      </c>
      <c r="F88" s="7" t="inlineStr"/>
      <c r="G88" s="7" t="inlineStr">
        <is>
          <t>Not started</t>
        </is>
      </c>
      <c r="H88" s="7" t="inlineStr">
        <is>
          <t>E-02</t>
        </is>
      </c>
      <c r="I88" s="7" t="inlineStr"/>
    </row>
    <row r="89">
      <c r="A89" s="8" t="inlineStr">
        <is>
          <t>J-10</t>
        </is>
      </c>
      <c r="B89" s="7" t="inlineStr">
        <is>
          <t>J. 2D to 3D generation</t>
        </is>
      </c>
      <c r="C89" s="7" t="inlineStr">
        <is>
          <t>Generator tests</t>
        </is>
      </c>
      <c r="D89" s="7" t="inlineStr">
        <is>
          <t>A fixture for each element type; a determinism test (same input, same bytes); a size and speed test on a reference gym.</t>
        </is>
      </c>
      <c r="E89" s="7" t="inlineStr">
        <is>
          <t>Tejesh</t>
        </is>
      </c>
      <c r="F89" s="7" t="inlineStr"/>
      <c r="G89" s="7" t="inlineStr">
        <is>
          <t>Not started</t>
        </is>
      </c>
      <c r="H89" s="7" t="inlineStr">
        <is>
          <t>J-01</t>
        </is>
      </c>
      <c r="I89" s="7" t="inlineStr"/>
    </row>
    <row r="90">
      <c r="A90" s="8" t="inlineStr">
        <is>
          <t>K-01</t>
        </is>
      </c>
      <c r="B90" s="7" t="inlineStr">
        <is>
          <t>K. Walkthrough viewer (web, 3D)</t>
        </is>
      </c>
      <c r="C90" s="7" t="inlineStr">
        <is>
          <t>Load the generated model</t>
        </is>
      </c>
      <c r="D90" s="7" t="inlineStr">
        <is>
          <t>Replace the in-browser build with loading the level file through a signed CloudFront link.</t>
        </is>
      </c>
      <c r="E90" s="7" t="inlineStr">
        <is>
          <t>Tejesh</t>
        </is>
      </c>
      <c r="F90" s="7" t="inlineStr"/>
      <c r="G90" s="7" t="inlineStr">
        <is>
          <t>Not started</t>
        </is>
      </c>
      <c r="H90" s="7" t="inlineStr">
        <is>
          <t>J-08, M-07</t>
        </is>
      </c>
      <c r="I90" s="7" t="inlineStr"/>
    </row>
    <row r="91">
      <c r="A91" s="8" t="inlineStr">
        <is>
          <t>K-02</t>
        </is>
      </c>
      <c r="B91" s="7" t="inlineStr">
        <is>
          <t>K. Walkthrough viewer (web, 3D)</t>
        </is>
      </c>
      <c r="C91" s="7" t="inlineStr">
        <is>
          <t>Keep the viewer features</t>
        </is>
      </c>
      <c r="D91" s="7" t="inlineStr">
        <is>
          <t>Walk with collision, touch joystick, overhead view, measure tool, minimap, level switch and the fixed disclaimer, on the generated model.</t>
        </is>
      </c>
      <c r="E91" s="7" t="inlineStr">
        <is>
          <t>Tejesh</t>
        </is>
      </c>
      <c r="F91" s="7" t="inlineStr"/>
      <c r="G91" s="7" t="inlineStr">
        <is>
          <t>Partly built</t>
        </is>
      </c>
      <c r="H91" s="7" t="inlineStr">
        <is>
          <t>K-01</t>
        </is>
      </c>
      <c r="I91" s="7" t="inlineStr">
        <is>
          <t>All exist today on the browser-built model.</t>
        </is>
      </c>
    </row>
    <row r="92">
      <c r="A92" s="8" t="inlineStr">
        <is>
          <t>K-03</t>
        </is>
      </c>
      <c r="B92" s="7" t="inlineStr">
        <is>
          <t>K. Walkthrough viewer (web, 3D)</t>
        </is>
      </c>
      <c r="C92" s="7" t="inlineStr">
        <is>
          <t>Machine models in the viewer</t>
        </is>
      </c>
      <c r="D92" s="7" t="inlineStr">
        <is>
          <t>Load and cache machine models across levels; lower detail at a distance.</t>
        </is>
      </c>
      <c r="E92" s="7" t="inlineStr">
        <is>
          <t>Tejesh</t>
        </is>
      </c>
      <c r="F92" s="7" t="inlineStr"/>
      <c r="G92" s="7" t="inlineStr">
        <is>
          <t>Not started</t>
        </is>
      </c>
      <c r="H92" s="7" t="inlineStr">
        <is>
          <t>K-01, L-06</t>
        </is>
      </c>
      <c r="I92" s="7" t="inlineStr"/>
    </row>
    <row r="93">
      <c r="A93" s="8" t="inlineStr">
        <is>
          <t>K-04</t>
        </is>
      </c>
      <c r="B93" s="7" t="inlineStr">
        <is>
          <t>K. Walkthrough viewer (web, 3D)</t>
        </is>
      </c>
      <c r="C93" s="7" t="inlineStr">
        <is>
          <t>Performance budget</t>
        </is>
      </c>
      <c r="D93" s="7" t="inlineStr">
        <is>
          <t>First load under 8 s at 25 Mbps; 30 fps on a 2022 mid-range laptop and a 2021 iPad; checked automatically on a reference gym (VIEW-09).</t>
        </is>
      </c>
      <c r="E93" s="7" t="inlineStr">
        <is>
          <t>Tejesh</t>
        </is>
      </c>
      <c r="F93" s="7" t="inlineStr"/>
      <c r="G93" s="7" t="inlineStr">
        <is>
          <t>Not started</t>
        </is>
      </c>
      <c r="H93" s="7" t="inlineStr">
        <is>
          <t>K-01</t>
        </is>
      </c>
      <c r="I93" s="7" t="inlineStr"/>
    </row>
    <row r="94">
      <c r="A94" s="8" t="inlineStr">
        <is>
          <t>K-05</t>
        </is>
      </c>
      <c r="B94" s="7" t="inlineStr">
        <is>
          <t>K. Walkthrough viewer (web, 3D)</t>
        </is>
      </c>
      <c r="C94" s="7" t="inlineStr">
        <is>
          <t>Share-link viewer</t>
        </is>
      </c>
      <c r="D94" s="7" t="inlineStr">
        <is>
          <t>The no-sign-in share page shows the same generated model.</t>
        </is>
      </c>
      <c r="E94" s="7" t="inlineStr">
        <is>
          <t>Tejesh</t>
        </is>
      </c>
      <c r="F94" s="7" t="inlineStr"/>
      <c r="G94" s="7" t="inlineStr">
        <is>
          <t>Not started</t>
        </is>
      </c>
      <c r="H94" s="7" t="inlineStr">
        <is>
          <t>K-01, D-06</t>
        </is>
      </c>
      <c r="I94" s="7" t="inlineStr"/>
    </row>
    <row r="95">
      <c r="A95" s="8" t="inlineStr">
        <is>
          <t>K-06</t>
        </is>
      </c>
      <c r="B95" s="7" t="inlineStr">
        <is>
          <t>K. Walkthrough viewer (web, 3D)</t>
        </is>
      </c>
      <c r="C95" s="7" t="inlineStr">
        <is>
          <t>Open the walkthrough from the editor</t>
        </is>
      </c>
      <c r="D95" s="7" t="inlineStr">
        <is>
          <t>Reviewers can open a version's generated walkthrough from the editor to check it.</t>
        </is>
      </c>
      <c r="E95" s="7" t="inlineStr">
        <is>
          <t>Tejesh</t>
        </is>
      </c>
      <c r="F95" s="7" t="inlineStr"/>
      <c r="G95" s="7" t="inlineStr">
        <is>
          <t>Not started</t>
        </is>
      </c>
      <c r="H95" s="7" t="inlineStr">
        <is>
          <t>K-01</t>
        </is>
      </c>
      <c r="I95" s="7" t="inlineStr"/>
    </row>
    <row r="96">
      <c r="A96" s="8" t="inlineStr">
        <is>
          <t>L-01</t>
        </is>
      </c>
      <c r="B96" s="7" t="inlineStr">
        <is>
          <t>L. Equipment 3D from the 360° video</t>
        </is>
      </c>
      <c r="C96" s="7" t="inlineStr">
        <is>
          <t>Route test on five machines</t>
        </is>
      </c>
      <c r="D96" s="7" t="inlineStr">
        <is>
          <t>Chrome, black rubber, against a wall, in a row, large: compare measured reconstruction with TRELLIS.2 on look, scale error, processing time and file size; recommend the main route.</t>
        </is>
      </c>
      <c r="E96" s="7" t="inlineStr">
        <is>
          <t>Tejesh</t>
        </is>
      </c>
      <c r="F96" s="7" t="inlineStr"/>
      <c r="G96" s="7" t="inlineStr">
        <is>
          <t>Not started</t>
        </is>
      </c>
      <c r="H96" s="7" t="inlineStr"/>
      <c r="I96" s="7" t="inlineStr"/>
    </row>
    <row r="97">
      <c r="A97" s="8" t="inlineStr">
        <is>
          <t>L-02</t>
        </is>
      </c>
      <c r="B97" s="7" t="inlineStr">
        <is>
          <t>L. Equipment 3D from the 360° video</t>
        </is>
      </c>
      <c r="C97" s="7" t="inlineStr">
        <is>
          <t>Frame extraction</t>
        </is>
      </c>
      <c r="D97" s="7" t="inlineStr">
        <is>
          <t>Pick sharp frames spread around the orbit from the uploaded video, and from the ARKit frames when they exist.</t>
        </is>
      </c>
      <c r="E97" s="7" t="inlineStr">
        <is>
          <t>Tejesh</t>
        </is>
      </c>
      <c r="F97" s="7" t="inlineStr"/>
      <c r="G97" s="7" t="inlineStr">
        <is>
          <t>Not started</t>
        </is>
      </c>
      <c r="H97" s="7" t="inlineStr"/>
      <c r="I97" s="7" t="inlineStr"/>
    </row>
    <row r="98">
      <c r="A98" s="8" t="inlineStr">
        <is>
          <t>L-03</t>
        </is>
      </c>
      <c r="B98" s="7" t="inlineStr">
        <is>
          <t>L. Equipment 3D from the 360° video</t>
        </is>
      </c>
      <c r="C98" s="7" t="inlineStr">
        <is>
          <t>Cut-out</t>
        </is>
      </c>
      <c r="D98" s="7" t="inlineStr">
        <is>
          <t>Separate the machine from floor, walls and people using segmentation and the machine's scanned box.</t>
        </is>
      </c>
      <c r="E98" s="7" t="inlineStr">
        <is>
          <t>Tejesh</t>
        </is>
      </c>
      <c r="F98" s="7" t="inlineStr"/>
      <c r="G98" s="7" t="inlineStr">
        <is>
          <t>Not started</t>
        </is>
      </c>
      <c r="H98" s="7" t="inlineStr">
        <is>
          <t>L-02</t>
        </is>
      </c>
      <c r="I98" s="7" t="inlineStr"/>
    </row>
    <row r="99">
      <c r="A99" s="8" t="inlineStr">
        <is>
          <t>L-04</t>
        </is>
      </c>
      <c r="B99" s="7" t="inlineStr">
        <is>
          <t>L. Equipment 3D from the 360° video</t>
        </is>
      </c>
      <c r="C99" s="7" t="inlineStr">
        <is>
          <t>Measured reconstruction</t>
        </is>
      </c>
      <c r="D99" s="7" t="inlineStr">
        <is>
          <t>Build a textured mesh from positioned frames and depth.</t>
        </is>
      </c>
      <c r="E99" s="7" t="inlineStr">
        <is>
          <t>Tejesh</t>
        </is>
      </c>
      <c r="F99" s="7" t="inlineStr"/>
      <c r="G99" s="7" t="inlineStr">
        <is>
          <t>Not started</t>
        </is>
      </c>
      <c r="H99" s="7" t="inlineStr">
        <is>
          <t>L-03, I-05</t>
        </is>
      </c>
      <c r="I99" s="7" t="inlineStr"/>
    </row>
    <row r="100">
      <c r="A100" s="8" t="inlineStr">
        <is>
          <t>L-05</t>
        </is>
      </c>
      <c r="B100" s="7" t="inlineStr">
        <is>
          <t>L. Equipment 3D from the 360° video</t>
        </is>
      </c>
      <c r="C100" s="7" t="inlineStr">
        <is>
          <t>Generated route (TRELLIS.2)</t>
        </is>
      </c>
      <c r="D100" s="7" t="inlineStr">
        <is>
          <t>Generate a model from the best frame with TRELLIS.2. It accepts one image, so hidden sides are invented.</t>
        </is>
      </c>
      <c r="E100" s="7" t="inlineStr">
        <is>
          <t>Tejesh</t>
        </is>
      </c>
      <c r="F100" s="7" t="inlineStr"/>
      <c r="G100" s="7" t="inlineStr">
        <is>
          <t>Not started</t>
        </is>
      </c>
      <c r="H100" s="7" t="inlineStr">
        <is>
          <t>L-03, L-09, O-07</t>
        </is>
      </c>
      <c r="I100" s="7" t="inlineStr"/>
    </row>
    <row r="101">
      <c r="A101" s="8" t="inlineStr">
        <is>
          <t>L-06</t>
        </is>
      </c>
      <c r="B101" s="7" t="inlineStr">
        <is>
          <t>L. Equipment 3D from the 360° video</t>
        </is>
      </c>
      <c r="C101" s="7" t="inlineStr">
        <is>
          <t>Scale, align and optimise</t>
        </is>
      </c>
      <c r="D101" s="7" t="inlineStr">
        <is>
          <t>Scale and turn the model to the scanned footprint and facing without stretching (flag large mismatches); levels of detail; compression; store by content hash.</t>
        </is>
      </c>
      <c r="E101" s="7" t="inlineStr">
        <is>
          <t>Tejesh</t>
        </is>
      </c>
      <c r="F101" s="7" t="inlineStr"/>
      <c r="G101" s="7" t="inlineStr">
        <is>
          <t>Not started</t>
        </is>
      </c>
      <c r="H101" s="7" t="inlineStr">
        <is>
          <t>L-04 or L-05</t>
        </is>
      </c>
      <c r="I101" s="7" t="inlineStr"/>
    </row>
    <row r="102">
      <c r="A102" s="8" t="inlineStr">
        <is>
          <t>L-07</t>
        </is>
      </c>
      <c r="B102" s="7" t="inlineStr">
        <is>
          <t>L. Equipment 3D from the 360° video</t>
        </is>
      </c>
      <c r="C102" s="7" t="inlineStr">
        <is>
          <t>Model states and API</t>
        </is>
      </c>
      <c r="D102" s="7" t="inlineStr">
        <is>
          <t>asset.build job; states none, queued, building, awaiting review, approved, rejected, failed; API for the editor.</t>
        </is>
      </c>
      <c r="E102" s="7" t="inlineStr">
        <is>
          <t>Tejesh</t>
        </is>
      </c>
      <c r="F102" s="7" t="inlineStr"/>
      <c r="G102" s="7" t="inlineStr">
        <is>
          <t>Partly built</t>
        </is>
      </c>
      <c r="H102" s="7" t="inlineStr">
        <is>
          <t>E-01, C-15</t>
        </is>
      </c>
      <c r="I102" s="7" t="inlineStr">
        <is>
          <t>Table and the 'asset.build' job kind exist; no handler is registered yet.</t>
        </is>
      </c>
    </row>
    <row r="103">
      <c r="A103" s="8" t="inlineStr">
        <is>
          <t>L-08</t>
        </is>
      </c>
      <c r="B103" s="7" t="inlineStr">
        <is>
          <t>L. Equipment 3D from the 360° video</t>
        </is>
      </c>
      <c r="C103" s="7" t="inlineStr">
        <is>
          <t>Model review screen</t>
        </is>
      </c>
      <c r="D103" s="7" t="inlineStr">
        <is>
          <t>In the editor: the model beside its 360° video; approve or reject with a reason; mark a machine 'same as' another to reuse its model.</t>
        </is>
      </c>
      <c r="E103" s="7" t="inlineStr">
        <is>
          <t>Tejesh</t>
        </is>
      </c>
      <c r="F103" s="7" t="inlineStr">
        <is>
          <t>Thomas</t>
        </is>
      </c>
      <c r="G103" s="7" t="inlineStr">
        <is>
          <t>Not started</t>
        </is>
      </c>
      <c r="H103" s="7" t="inlineStr">
        <is>
          <t>L-07</t>
        </is>
      </c>
      <c r="I103" s="7" t="inlineStr"/>
    </row>
    <row r="104">
      <c r="A104" s="8" t="inlineStr">
        <is>
          <t>L-09</t>
        </is>
      </c>
      <c r="B104" s="7" t="inlineStr">
        <is>
          <t>L. Equipment 3D from the 360° video</t>
        </is>
      </c>
      <c r="C104" s="7" t="inlineStr">
        <is>
          <t>TRELLIS.2 container</t>
        </is>
      </c>
      <c r="D104" s="7" t="inlineStr">
        <is>
          <t>Docker image built for the NVIDIA L40S (CUDA 12.4 build stage, slim runtime) in ECR; weights copied once into S3; stateless entry point: S3 frames in, GLB out. Replaces the RunPod kit.</t>
        </is>
      </c>
      <c r="E104" s="7" t="inlineStr">
        <is>
          <t>Tejesh</t>
        </is>
      </c>
      <c r="F104" s="7" t="inlineStr"/>
      <c r="G104" s="7" t="inlineStr">
        <is>
          <t>Partly built</t>
        </is>
      </c>
      <c r="H104" s="7" t="inlineStr"/>
      <c r="I104" s="7" t="inlineStr">
        <is>
          <t>apps/trellis2-worker in the Digital Twin repo: Dockerfile and handler checked against Microsoft's code; needs L-11 to L-13 before use.</t>
        </is>
      </c>
    </row>
    <row r="105">
      <c r="A105" s="8" t="inlineStr">
        <is>
          <t>L-10</t>
        </is>
      </c>
      <c r="B105" s="7" t="inlineStr">
        <is>
          <t>L. Equipment 3D from the 360° video</t>
        </is>
      </c>
      <c r="C105" s="7" t="inlineStr">
        <is>
          <t>GPU environment</t>
        </is>
      </c>
      <c r="D105" s="7" t="inlineStr">
        <is>
          <t>AWS Batch on g6e.xlarge in Sydney, scaling to zero when idle; job definition; infrastructure code inside the backend's CDK app.</t>
        </is>
      </c>
      <c r="E105" s="7" t="inlineStr">
        <is>
          <t>Tejesh</t>
        </is>
      </c>
      <c r="F105" s="7" t="inlineStr">
        <is>
          <t>Thomas</t>
        </is>
      </c>
      <c r="G105" s="7" t="inlineStr">
        <is>
          <t>Not started</t>
        </is>
      </c>
      <c r="H105" s="7" t="inlineStr">
        <is>
          <t>M-02, M-15</t>
        </is>
      </c>
      <c r="I105" s="7" t="inlineStr"/>
    </row>
    <row r="106">
      <c r="A106" s="8" t="inlineStr">
        <is>
          <t>L-11</t>
        </is>
      </c>
      <c r="B106" s="7" t="inlineStr">
        <is>
          <t>L. Equipment 3D from the 360° video</t>
        </is>
      </c>
      <c r="C106" s="7" t="inlineStr">
        <is>
          <t>Pin every TRELLIS.2 version</t>
        </is>
      </c>
      <c r="D106" s="7" t="inlineStr">
        <is>
          <t>Pin the TRELLIS.2 commit (75fbf01 when checked) and every CUDA extension it builds (CuMesh, FlexGEMM, nvdiffrast v0.4.0, flash-attn 2.7.3, utils3d), so two image builds are identical.</t>
        </is>
      </c>
      <c r="E106" s="7" t="inlineStr">
        <is>
          <t>Tejesh</t>
        </is>
      </c>
      <c r="F106" s="7" t="inlineStr"/>
      <c r="G106" s="7" t="inlineStr">
        <is>
          <t>Not started</t>
        </is>
      </c>
      <c r="H106" s="7" t="inlineStr"/>
      <c r="I106" s="7" t="inlineStr">
        <is>
          <t>The worker clones main; Microsoft's setup.sh clones CuMesh and FlexGEMM unpinned.</t>
        </is>
      </c>
    </row>
    <row r="107">
      <c r="A107" s="8" t="inlineStr">
        <is>
          <t>L-12</t>
        </is>
      </c>
      <c r="B107" s="7" t="inlineStr">
        <is>
          <t>L. Equipment 3D from the 360° video</t>
        </is>
      </c>
      <c r="C107" s="7" t="inlineStr">
        <is>
          <t>Licence-safe model config</t>
        </is>
      </c>
      <c r="D107" s="7" t="inlineStr">
        <is>
          <t>Keep a local copy of the TRELLIS.2-4B config with background removal set to ZhengPeng7/BiRefNet (MIT) instead of briaai/RMBG-2.0 (CC BY-NC 4.0); send our own cut-out so matting is skipped; accept the DINOv3 licence and get access approved on Hugging Face (no product credit is required).</t>
        </is>
      </c>
      <c r="E107" s="7" t="inlineStr">
        <is>
          <t>Tejesh</t>
        </is>
      </c>
      <c r="F107" s="7" t="inlineStr">
        <is>
          <t>Product owner</t>
        </is>
      </c>
      <c r="G107" s="7" t="inlineStr">
        <is>
          <t>Not started</t>
        </is>
      </c>
      <c r="H107" s="7" t="inlineStr"/>
      <c r="I107" s="7" t="inlineStr">
        <is>
          <t>TRELLIS.2 loads RMBG-2.0 every time it starts, even when it is not used.</t>
        </is>
      </c>
    </row>
    <row r="108">
      <c r="A108" s="8" t="inlineStr">
        <is>
          <t>L-13</t>
        </is>
      </c>
      <c r="B108" s="7" t="inlineStr">
        <is>
          <t>L. Equipment 3D from the 360° video</t>
        </is>
      </c>
      <c r="C108" s="7" t="inlineStr">
        <is>
          <t>AWS job entrypoint</t>
        </is>
      </c>
      <c r="D108" s="7" t="inlineStr">
        <is>
          <t>Replace the RunPod handler loop with an AWS Batch entrypoint: cut-out image from S3 in, GLB and metadata to S3 out, with the model-facing code unchanged. Drop nvdiffrec (preview videos only) and SPCONV_ALGO (a TRELLIS 1 setting) from the image.</t>
        </is>
      </c>
      <c r="E108" s="7" t="inlineStr">
        <is>
          <t>Tejesh</t>
        </is>
      </c>
      <c r="F108" s="7" t="inlineStr"/>
      <c r="G108" s="7" t="inlineStr">
        <is>
          <t>Not started</t>
        </is>
      </c>
      <c r="H108" s="7" t="inlineStr">
        <is>
          <t>L-11, L-12</t>
        </is>
      </c>
      <c r="I108" s="7" t="inlineStr">
        <is>
          <t>The RunPod version returns the GLB as base64 inside the job result, which has a size limit.</t>
        </is>
      </c>
    </row>
    <row r="109">
      <c r="A109" s="8" t="inlineStr">
        <is>
          <t>L-14</t>
        </is>
      </c>
      <c r="B109" s="7" t="inlineStr">
        <is>
          <t>L. Equipment 3D from the 360° video</t>
        </is>
      </c>
      <c r="C109" s="7" t="inlineStr">
        <is>
          <t>Golden test for each image build</t>
        </is>
      </c>
      <c r="D109" s="7" t="inlineStr">
        <is>
          <t>Run one fixed image with a fixed seed on every new image; compare triangle count, file size and run time with a stored reference before the image is used.</t>
        </is>
      </c>
      <c r="E109" s="7" t="inlineStr">
        <is>
          <t>Tejesh</t>
        </is>
      </c>
      <c r="F109" s="7" t="inlineStr"/>
      <c r="G109" s="7" t="inlineStr">
        <is>
          <t>Not started</t>
        </is>
      </c>
      <c r="H109" s="7" t="inlineStr">
        <is>
          <t>L-10</t>
        </is>
      </c>
      <c r="I109" s="7" t="inlineStr">
        <is>
          <t>TRELLIS.2 has never been run: all 8 saved Digital Twin jobs used TRELLIS 1.</t>
        </is>
      </c>
    </row>
    <row r="110">
      <c r="A110" s="8" t="inlineStr">
        <is>
          <t>M-01</t>
        </is>
      </c>
      <c r="B110" s="7" t="inlineStr">
        <is>
          <t>M. Deployment in Flex AWS</t>
        </is>
      </c>
      <c r="C110" s="7" t="inlineStr">
        <is>
          <t>Environments</t>
        </is>
      </c>
      <c r="D110" s="7" t="inlineStr">
        <is>
          <t>dev, staging and prod in ap-southeast-2 (Sydney).</t>
        </is>
      </c>
      <c r="E110" s="7" t="inlineStr">
        <is>
          <t>Thomas</t>
        </is>
      </c>
      <c r="F110" s="7" t="inlineStr"/>
      <c r="G110" s="7" t="inlineStr">
        <is>
          <t>Not started</t>
        </is>
      </c>
      <c r="H110" s="7" t="inlineStr"/>
      <c r="I110" s="7" t="inlineStr">
        <is>
          <t>No Dockerfile, infrastructure code or pipeline exists.</t>
        </is>
      </c>
    </row>
    <row r="111">
      <c r="A111" s="8" t="inlineStr">
        <is>
          <t>M-02</t>
        </is>
      </c>
      <c r="B111" s="7" t="inlineStr">
        <is>
          <t>M. Deployment in Flex AWS</t>
        </is>
      </c>
      <c r="C111" s="7" t="inlineStr">
        <is>
          <t>CDK app and network</t>
        </is>
      </c>
      <c r="D111" s="7" t="inlineStr">
        <is>
          <t>AWS CDK in TypeScript: VPC, private subnets, VPC endpoints.</t>
        </is>
      </c>
      <c r="E111" s="7" t="inlineStr">
        <is>
          <t>Thomas</t>
        </is>
      </c>
      <c r="F111" s="7" t="inlineStr"/>
      <c r="G111" s="7" t="inlineStr">
        <is>
          <t>Not started</t>
        </is>
      </c>
      <c r="H111" s="7" t="inlineStr">
        <is>
          <t>M-01</t>
        </is>
      </c>
      <c r="I111" s="7" t="inlineStr"/>
    </row>
    <row r="112">
      <c r="A112" s="8" t="inlineStr">
        <is>
          <t>M-03</t>
        </is>
      </c>
      <c r="B112" s="7" t="inlineStr">
        <is>
          <t>M. Deployment in Flex AWS</t>
        </is>
      </c>
      <c r="C112" s="7" t="inlineStr">
        <is>
          <t>Data stores</t>
        </is>
      </c>
      <c r="D112" s="7" t="inlineStr">
        <is>
          <t>RDS MySQL 8.4 Multi-AZ, S3 buckets (captures, models, logs), KMS keys, lifecycle rules, CORS for the web origin.</t>
        </is>
      </c>
      <c r="E112" s="7" t="inlineStr">
        <is>
          <t>Thomas</t>
        </is>
      </c>
      <c r="F112" s="7" t="inlineStr"/>
      <c r="G112" s="7" t="inlineStr">
        <is>
          <t>Not started</t>
        </is>
      </c>
      <c r="H112" s="7" t="inlineStr">
        <is>
          <t>M-02</t>
        </is>
      </c>
      <c r="I112" s="7" t="inlineStr"/>
    </row>
    <row r="113">
      <c r="A113" s="8" t="inlineStr">
        <is>
          <t>M-04</t>
        </is>
      </c>
      <c r="B113" s="7" t="inlineStr">
        <is>
          <t>M. Deployment in Flex AWS</t>
        </is>
      </c>
      <c r="C113" s="7" t="inlineStr">
        <is>
          <t>Queues</t>
        </is>
      </c>
      <c r="D113" s="7" t="inlineStr">
        <is>
          <t>SQS queues, each with a dead-letter queue.</t>
        </is>
      </c>
      <c r="E113" s="7" t="inlineStr">
        <is>
          <t>Thomas</t>
        </is>
      </c>
      <c r="F113" s="7" t="inlineStr"/>
      <c r="G113" s="7" t="inlineStr">
        <is>
          <t>Not started</t>
        </is>
      </c>
      <c r="H113" s="7" t="inlineStr">
        <is>
          <t>M-02</t>
        </is>
      </c>
      <c r="I113" s="7" t="inlineStr"/>
    </row>
    <row r="114">
      <c r="A114" s="8" t="inlineStr">
        <is>
          <t>M-05</t>
        </is>
      </c>
      <c r="B114" s="7" t="inlineStr">
        <is>
          <t>M. Deployment in Flex AWS</t>
        </is>
      </c>
      <c r="C114" s="7" t="inlineStr">
        <is>
          <t>Compute</t>
        </is>
      </c>
      <c r="D114" s="7" t="inlineStr">
        <is>
          <t>ECS Fargate for the API and Node workers behind a load balancer with WAF.</t>
        </is>
      </c>
      <c r="E114" s="7" t="inlineStr">
        <is>
          <t>Thomas</t>
        </is>
      </c>
      <c r="F114" s="7" t="inlineStr"/>
      <c r="G114" s="7" t="inlineStr">
        <is>
          <t>Not started</t>
        </is>
      </c>
      <c r="H114" s="7" t="inlineStr">
        <is>
          <t>M-02, D-11</t>
        </is>
      </c>
      <c r="I114" s="7" t="inlineStr"/>
    </row>
    <row r="115">
      <c r="A115" s="8" t="inlineStr">
        <is>
          <t>M-06</t>
        </is>
      </c>
      <c r="B115" s="7" t="inlineStr">
        <is>
          <t>M. Deployment in Flex AWS</t>
        </is>
      </c>
      <c r="C115" s="7" t="inlineStr">
        <is>
          <t>Web app hosting</t>
        </is>
      </c>
      <c r="D115" s="7" t="inlineStr">
        <is>
          <t>S3 and CloudFront serving the web app on the GoalCert subdomain.</t>
        </is>
      </c>
      <c r="E115" s="7" t="inlineStr">
        <is>
          <t>Thomas</t>
        </is>
      </c>
      <c r="F115" s="7" t="inlineStr"/>
      <c r="G115" s="7" t="inlineStr">
        <is>
          <t>Not started</t>
        </is>
      </c>
      <c r="H115" s="7" t="inlineStr">
        <is>
          <t>O-01, N-04</t>
        </is>
      </c>
      <c r="I115" s="7" t="inlineStr"/>
    </row>
    <row r="116">
      <c r="A116" s="8" t="inlineStr">
        <is>
          <t>M-07</t>
        </is>
      </c>
      <c r="B116" s="7" t="inlineStr">
        <is>
          <t>M. Deployment in Flex AWS</t>
        </is>
      </c>
      <c r="C116" s="7" t="inlineStr">
        <is>
          <t>3D model delivery</t>
        </is>
      </c>
      <c r="D116" s="7" t="inlineStr">
        <is>
          <t>CloudFront with signed URLs for level and machine models.</t>
        </is>
      </c>
      <c r="E116" s="7" t="inlineStr">
        <is>
          <t>Tejesh</t>
        </is>
      </c>
      <c r="F116" s="7" t="inlineStr">
        <is>
          <t>Thomas</t>
        </is>
      </c>
      <c r="G116" s="7" t="inlineStr">
        <is>
          <t>Partly built</t>
        </is>
      </c>
      <c r="H116" s="7" t="inlineStr">
        <is>
          <t>M-03</t>
        </is>
      </c>
      <c r="I116" s="7" t="inlineStr">
        <is>
          <t>infra/lib/models-distribution.ts exists, marked owned by the 3D team, and is wired into data-stack.ts. Signing key pair and URL signing in the API still to do.</t>
        </is>
      </c>
    </row>
    <row r="117">
      <c r="A117" s="8" t="inlineStr">
        <is>
          <t>M-08</t>
        </is>
      </c>
      <c r="B117" s="7" t="inlineStr">
        <is>
          <t>M. Deployment in Flex AWS</t>
        </is>
      </c>
      <c r="C117" s="7" t="inlineStr">
        <is>
          <t>DNS and certificates</t>
        </is>
      </c>
      <c r="D117" s="7" t="inlineStr">
        <is>
          <t>Route 53 and ACM, including the GoalCert subdomain records.</t>
        </is>
      </c>
      <c r="E117" s="7" t="inlineStr">
        <is>
          <t>Thomas</t>
        </is>
      </c>
      <c r="F117" s="7" t="inlineStr"/>
      <c r="G117" s="7" t="inlineStr">
        <is>
          <t>Not started</t>
        </is>
      </c>
      <c r="H117" s="7" t="inlineStr">
        <is>
          <t>N-04</t>
        </is>
      </c>
      <c r="I117" s="7" t="inlineStr"/>
    </row>
    <row r="118">
      <c r="A118" s="8" t="inlineStr">
        <is>
          <t>M-09</t>
        </is>
      </c>
      <c r="B118" s="7" t="inlineStr">
        <is>
          <t>M. Deployment in Flex AWS</t>
        </is>
      </c>
      <c r="C118" s="7" t="inlineStr">
        <is>
          <t>Email sending</t>
        </is>
      </c>
      <c r="D118" s="7" t="inlineStr">
        <is>
          <t>SES domain with SPF, DKIM and DMARC; production access.</t>
        </is>
      </c>
      <c r="E118" s="7" t="inlineStr">
        <is>
          <t>Thomas</t>
        </is>
      </c>
      <c r="F118" s="7" t="inlineStr"/>
      <c r="G118" s="7" t="inlineStr">
        <is>
          <t>Not started</t>
        </is>
      </c>
      <c r="H118" s="7" t="inlineStr"/>
      <c r="I118" s="7" t="inlineStr"/>
    </row>
    <row r="119">
      <c r="A119" s="8" t="inlineStr">
        <is>
          <t>M-10</t>
        </is>
      </c>
      <c r="B119" s="7" t="inlineStr">
        <is>
          <t>M. Deployment in Flex AWS</t>
        </is>
      </c>
      <c r="C119" s="7" t="inlineStr">
        <is>
          <t>Secrets</t>
        </is>
      </c>
      <c r="D119" s="7" t="inlineStr">
        <is>
          <t>Secrets Manager: database, JWT key, Hub client secret, Hub events secret.</t>
        </is>
      </c>
      <c r="E119" s="7" t="inlineStr">
        <is>
          <t>Thomas</t>
        </is>
      </c>
      <c r="F119" s="7" t="inlineStr"/>
      <c r="G119" s="7" t="inlineStr">
        <is>
          <t>Not started</t>
        </is>
      </c>
      <c r="H119" s="7" t="inlineStr"/>
      <c r="I119" s="7" t="inlineStr"/>
    </row>
    <row r="120">
      <c r="A120" s="8" t="inlineStr">
        <is>
          <t>M-11</t>
        </is>
      </c>
      <c r="B120" s="7" t="inlineStr">
        <is>
          <t>M. Deployment in Flex AWS</t>
        </is>
      </c>
      <c r="C120" s="7" t="inlineStr">
        <is>
          <t>Monitoring</t>
        </is>
      </c>
      <c r="D120" s="7" t="inlineStr">
        <is>
          <t>CloudWatch dashboards and alarms to SNS and Slack, including a pipeline-failure alert within 5 minutes.</t>
        </is>
      </c>
      <c r="E120" s="7" t="inlineStr">
        <is>
          <t>Thomas</t>
        </is>
      </c>
      <c r="F120" s="7" t="inlineStr">
        <is>
          <t>Tejesh</t>
        </is>
      </c>
      <c r="G120" s="7" t="inlineStr">
        <is>
          <t>Not started</t>
        </is>
      </c>
      <c r="H120" s="7" t="inlineStr">
        <is>
          <t>M-05</t>
        </is>
      </c>
      <c r="I120" s="7" t="inlineStr"/>
    </row>
    <row r="121">
      <c r="A121" s="8" t="inlineStr">
        <is>
          <t>M-12</t>
        </is>
      </c>
      <c r="B121" s="7" t="inlineStr">
        <is>
          <t>M. Deployment in Flex AWS</t>
        </is>
      </c>
      <c r="C121" s="7" t="inlineStr">
        <is>
          <t>Build and release</t>
        </is>
      </c>
      <c r="D121" s="7" t="inlineStr">
        <is>
          <t>CodePipeline and CodeBuild from CodeCommit for the API, workers, GPU image, web app and infrastructure.</t>
        </is>
      </c>
      <c r="E121" s="7" t="inlineStr">
        <is>
          <t>Thomas</t>
        </is>
      </c>
      <c r="F121" s="7" t="inlineStr">
        <is>
          <t>Tejesh</t>
        </is>
      </c>
      <c r="G121" s="7" t="inlineStr">
        <is>
          <t>Not started</t>
        </is>
      </c>
      <c r="H121" s="7" t="inlineStr">
        <is>
          <t>A-03</t>
        </is>
      </c>
      <c r="I121" s="7" t="inlineStr"/>
    </row>
    <row r="122">
      <c r="A122" s="8" t="inlineStr">
        <is>
          <t>M-13</t>
        </is>
      </c>
      <c r="B122" s="7" t="inlineStr">
        <is>
          <t>M. Deployment in Flex AWS</t>
        </is>
      </c>
      <c r="C122" s="7" t="inlineStr">
        <is>
          <t>iPhone build pipeline</t>
        </is>
      </c>
      <c r="D122" s="7" t="inlineStr">
        <is>
          <t>Xcode Cloud or fastlane to TestFlight.</t>
        </is>
      </c>
      <c r="E122" s="7" t="inlineStr">
        <is>
          <t>Thomas</t>
        </is>
      </c>
      <c r="F122" s="7" t="inlineStr"/>
      <c r="G122" s="7" t="inlineStr">
        <is>
          <t>Not started</t>
        </is>
      </c>
      <c r="H122" s="7" t="inlineStr">
        <is>
          <t>I-02</t>
        </is>
      </c>
      <c r="I122" s="7" t="inlineStr"/>
    </row>
    <row r="123">
      <c r="A123" s="8" t="inlineStr">
        <is>
          <t>M-14</t>
        </is>
      </c>
      <c r="B123" s="7" t="inlineStr">
        <is>
          <t>M. Deployment in Flex AWS</t>
        </is>
      </c>
      <c r="C123" s="7" t="inlineStr">
        <is>
          <t>Runbooks</t>
        </is>
      </c>
      <c r="D123" s="7" t="inlineStr">
        <is>
          <t>Deploy, rollback, database restore, secret rotation, SES bounces.</t>
        </is>
      </c>
      <c r="E123" s="7" t="inlineStr">
        <is>
          <t>Thomas</t>
        </is>
      </c>
      <c r="F123" s="7" t="inlineStr"/>
      <c r="G123" s="7" t="inlineStr">
        <is>
          <t>Not started</t>
        </is>
      </c>
      <c r="H123" s="7" t="inlineStr"/>
      <c r="I123" s="7" t="inlineStr"/>
    </row>
    <row r="124">
      <c r="A124" s="8" t="inlineStr">
        <is>
          <t>M-15</t>
        </is>
      </c>
      <c r="B124" s="7" t="inlineStr">
        <is>
          <t>M. Deployment in Flex AWS</t>
        </is>
      </c>
      <c r="C124" s="7" t="inlineStr">
        <is>
          <t>Service quotas</t>
        </is>
      </c>
      <c r="D124" s="7" t="inlineStr">
        <is>
          <t>Request GPU instance quota in Sydney and SES production access.</t>
        </is>
      </c>
      <c r="E124" s="7" t="inlineStr">
        <is>
          <t>Thomas</t>
        </is>
      </c>
      <c r="F124" s="7" t="inlineStr">
        <is>
          <t>Tejesh</t>
        </is>
      </c>
      <c r="G124" s="7" t="inlineStr">
        <is>
          <t>Not started</t>
        </is>
      </c>
      <c r="H124" s="7" t="inlineStr"/>
      <c r="I124" s="7" t="inlineStr"/>
    </row>
    <row r="125">
      <c r="A125" s="8" t="inlineStr">
        <is>
          <t>M-16</t>
        </is>
      </c>
      <c r="B125" s="7" t="inlineStr">
        <is>
          <t>M. Deployment in Flex AWS</t>
        </is>
      </c>
      <c r="C125" s="7" t="inlineStr">
        <is>
          <t>Residency check</t>
        </is>
      </c>
      <c r="D125" s="7" t="inlineStr">
        <is>
          <t>Confirm every service, the vision model and the GPU work run in Sydney.</t>
        </is>
      </c>
      <c r="E125" s="7" t="inlineStr">
        <is>
          <t>Thomas</t>
        </is>
      </c>
      <c r="F125" s="7" t="inlineStr"/>
      <c r="G125" s="7" t="inlineStr">
        <is>
          <t>Not started</t>
        </is>
      </c>
      <c r="H125" s="7" t="inlineStr"/>
      <c r="I125" s="7" t="inlineStr"/>
    </row>
    <row r="126">
      <c r="A126" s="8" t="inlineStr">
        <is>
          <t>N-01</t>
        </is>
      </c>
      <c r="B126" s="7" t="inlineStr">
        <is>
          <t>N. GoalCert side</t>
        </is>
      </c>
      <c r="C126" s="7" t="inlineStr">
        <is>
          <t>Flex Gym organisation</t>
        </is>
      </c>
      <c r="D126" s="7" t="inlineStr">
        <is>
          <t>Create the single Flex Gym organisation in the Hub.</t>
        </is>
      </c>
      <c r="E126" s="7" t="inlineStr">
        <is>
          <t>GoalCert team</t>
        </is>
      </c>
      <c r="F126" s="7" t="inlineStr"/>
      <c r="G126" s="7" t="inlineStr">
        <is>
          <t>Not started</t>
        </is>
      </c>
      <c r="H126" s="7" t="inlineStr"/>
      <c r="I126" s="7" t="inlineStr"/>
    </row>
    <row r="127">
      <c r="A127" s="8" t="inlineStr">
        <is>
          <t>N-02</t>
        </is>
      </c>
      <c r="B127" s="7" t="inlineStr">
        <is>
          <t>N. GoalCert side</t>
        </is>
      </c>
      <c r="C127" s="7" t="inlineStr">
        <is>
          <t>Register the product</t>
        </is>
      </c>
      <c r="D127" s="7" t="inlineStr">
        <is>
          <t>Register Flex Gym per environment: client id and secret, web and iPhone callbacks, events URL, launch URL.</t>
        </is>
      </c>
      <c r="E127" s="7" t="inlineStr">
        <is>
          <t>GoalCert team</t>
        </is>
      </c>
      <c r="F127" s="7" t="inlineStr">
        <is>
          <t>Thomas</t>
        </is>
      </c>
      <c r="G127" s="7" t="inlineStr">
        <is>
          <t>Not started</t>
        </is>
      </c>
      <c r="H127" s="7" t="inlineStr">
        <is>
          <t>N-01</t>
        </is>
      </c>
      <c r="I127" s="7" t="inlineStr">
        <is>
          <t>First product on the Hub's new SSO contract.</t>
        </is>
      </c>
    </row>
    <row r="128">
      <c r="A128" s="8" t="inlineStr">
        <is>
          <t>N-03</t>
        </is>
      </c>
      <c r="B128" s="7" t="inlineStr">
        <is>
          <t>N. GoalCert side</t>
        </is>
      </c>
      <c r="C128" s="7" t="inlineStr">
        <is>
          <t>Hub hosting region</t>
        </is>
      </c>
      <c r="D128" s="7" t="inlineStr">
        <is>
          <t>Confirm the Hub, which stores names and emails, is hosted in Australia.</t>
        </is>
      </c>
      <c r="E128" s="7" t="inlineStr">
        <is>
          <t>GoalCert team</t>
        </is>
      </c>
      <c r="F128" s="7" t="inlineStr"/>
      <c r="G128" s="7" t="inlineStr">
        <is>
          <t>Not started</t>
        </is>
      </c>
      <c r="H128" s="7" t="inlineStr"/>
      <c r="I128" s="7" t="inlineStr"/>
    </row>
    <row r="129">
      <c r="A129" s="8" t="inlineStr">
        <is>
          <t>N-04</t>
        </is>
      </c>
      <c r="B129" s="7" t="inlineStr">
        <is>
          <t>N. GoalCert side</t>
        </is>
      </c>
      <c r="C129" s="7" t="inlineStr">
        <is>
          <t>DNS for the web subdomain</t>
        </is>
      </c>
      <c r="D129" s="7" t="inlineStr">
        <is>
          <t>Subdomain record and certificate-validation record.</t>
        </is>
      </c>
      <c r="E129" s="7" t="inlineStr">
        <is>
          <t>GoalCert team</t>
        </is>
      </c>
      <c r="F129" s="7" t="inlineStr"/>
      <c r="G129" s="7" t="inlineStr">
        <is>
          <t>Not started</t>
        </is>
      </c>
      <c r="H129" s="7" t="inlineStr">
        <is>
          <t>O-02</t>
        </is>
      </c>
      <c r="I129" s="7" t="inlineStr"/>
    </row>
    <row r="130">
      <c r="A130" s="8" t="inlineStr">
        <is>
          <t>N-05</t>
        </is>
      </c>
      <c r="B130" s="7" t="inlineStr">
        <is>
          <t>N. GoalCert side</t>
        </is>
      </c>
      <c r="C130" s="7" t="inlineStr">
        <is>
          <t>Supersede the earlier architecture doc</t>
        </is>
      </c>
      <c r="D130" s="7" t="inlineStr">
        <is>
          <t>Mark the earlier gym architecture document (backend inside the Hub) as superseded.</t>
        </is>
      </c>
      <c r="E130" s="7" t="inlineStr">
        <is>
          <t>GoalCert team</t>
        </is>
      </c>
      <c r="F130" s="7" t="inlineStr"/>
      <c r="G130" s="7" t="inlineStr">
        <is>
          <t>Not started</t>
        </is>
      </c>
      <c r="H130" s="7" t="inlineStr"/>
      <c r="I130" s="7" t="inlineStr"/>
    </row>
    <row r="131">
      <c r="A131" s="8" t="inlineStr">
        <is>
          <t>N-06</t>
        </is>
      </c>
      <c r="B131" s="7" t="inlineStr">
        <is>
          <t>N. GoalCert side</t>
        </is>
      </c>
      <c r="C131" s="7" t="inlineStr">
        <is>
          <t>User-creation API</t>
        </is>
      </c>
      <c r="D131" s="7" t="inlineStr">
        <is>
          <t>A Hub API for creating users, so adding a user becomes one step.</t>
        </is>
      </c>
      <c r="E131" s="7" t="inlineStr">
        <is>
          <t>GoalCert team</t>
        </is>
      </c>
      <c r="F131" s="7" t="inlineStr"/>
      <c r="G131" s="7" t="inlineStr">
        <is>
          <t>Not started</t>
        </is>
      </c>
      <c r="H131" s="7" t="inlineStr"/>
      <c r="I131" s="7" t="inlineStr"/>
    </row>
    <row r="132">
      <c r="A132" s="8" t="inlineStr">
        <is>
          <t>O-01</t>
        </is>
      </c>
      <c r="B132" s="7" t="inlineStr">
        <is>
          <t>O. Product and legal decisions</t>
        </is>
      </c>
      <c r="C132" s="7" t="inlineStr">
        <is>
          <t>Where the web files are hosted</t>
        </is>
      </c>
      <c r="D132" s="7" t="inlineStr">
        <is>
          <t>Flex AWS behind a GoalCert DNS record (recommended), or GoalCert's AWS.</t>
        </is>
      </c>
      <c r="E132" s="7" t="inlineStr">
        <is>
          <t>Product owner</t>
        </is>
      </c>
      <c r="F132" s="7" t="inlineStr"/>
      <c r="G132" s="7" t="inlineStr">
        <is>
          <t>Not started</t>
        </is>
      </c>
      <c r="H132" s="7" t="inlineStr"/>
      <c r="I132" s="7" t="inlineStr"/>
    </row>
    <row r="133">
      <c r="A133" s="8" t="inlineStr">
        <is>
          <t>O-02</t>
        </is>
      </c>
      <c r="B133" s="7" t="inlineStr">
        <is>
          <t>O. Product and legal decisions</t>
        </is>
      </c>
      <c r="C133" s="7" t="inlineStr">
        <is>
          <t>Domain names</t>
        </is>
      </c>
      <c r="D133" s="7" t="inlineStr">
        <is>
          <t>Web subdomain and API domain.</t>
        </is>
      </c>
      <c r="E133" s="7" t="inlineStr">
        <is>
          <t>Product owner</t>
        </is>
      </c>
      <c r="F133" s="7" t="inlineStr"/>
      <c r="G133" s="7" t="inlineStr">
        <is>
          <t>Not started</t>
        </is>
      </c>
      <c r="H133" s="7" t="inlineStr"/>
      <c r="I133" s="7" t="inlineStr"/>
    </row>
    <row r="134">
      <c r="A134" s="8" t="inlineStr">
        <is>
          <t>O-03</t>
        </is>
      </c>
      <c r="B134" s="7" t="inlineStr">
        <is>
          <t>O. Product and legal decisions</t>
        </is>
      </c>
      <c r="C134" s="7" t="inlineStr">
        <is>
          <t>iPhone session rule</t>
        </is>
      </c>
      <c r="D134" s="7" t="inlineStr">
        <is>
          <t>How long the phone stays signed in, and whether a Hub sign-out also signs it out.</t>
        </is>
      </c>
      <c r="E134" s="7" t="inlineStr">
        <is>
          <t>Product owner</t>
        </is>
      </c>
      <c r="F134" s="7" t="inlineStr"/>
      <c r="G134" s="7" t="inlineStr">
        <is>
          <t>Not started</t>
        </is>
      </c>
      <c r="H134" s="7" t="inlineStr"/>
      <c r="I134" s="7" t="inlineStr"/>
    </row>
    <row r="135">
      <c r="A135" s="8" t="inlineStr">
        <is>
          <t>O-04</t>
        </is>
      </c>
      <c r="B135" s="7" t="inlineStr">
        <is>
          <t>O. Product and legal decisions</t>
        </is>
      </c>
      <c r="C135" s="7" t="inlineStr">
        <is>
          <t>Accuracy target and size limit</t>
        </is>
      </c>
      <c r="D135" s="7" t="inlineStr">
        <is>
          <t>Set from the results of F-08; the size is never pushed past the accuracy.</t>
        </is>
      </c>
      <c r="E135" s="7" t="inlineStr">
        <is>
          <t>Product owner</t>
        </is>
      </c>
      <c r="F135" s="7" t="inlineStr"/>
      <c r="G135" s="7" t="inlineStr">
        <is>
          <t>Not started</t>
        </is>
      </c>
      <c r="H135" s="7" t="inlineStr">
        <is>
          <t>F-08</t>
        </is>
      </c>
      <c r="I135" s="7" t="inlineStr"/>
    </row>
    <row r="136">
      <c r="A136" s="8" t="inlineStr">
        <is>
          <t>O-05</t>
        </is>
      </c>
      <c r="B136" s="7" t="inlineStr">
        <is>
          <t>O. Product and legal decisions</t>
        </is>
      </c>
      <c r="C136" s="7" t="inlineStr">
        <is>
          <t>Reference test set</t>
        </is>
      </c>
      <c r="D136" s="7" t="inlineStr">
        <is>
          <t>10 real plans and 2 laser-measured gyms.</t>
        </is>
      </c>
      <c r="E136" s="7" t="inlineStr">
        <is>
          <t>Product owner</t>
        </is>
      </c>
      <c r="F136" s="7" t="inlineStr"/>
      <c r="G136" s="7" t="inlineStr">
        <is>
          <t>Not started</t>
        </is>
      </c>
      <c r="H136" s="7" t="inlineStr"/>
      <c r="I136" s="7" t="inlineStr"/>
    </row>
    <row r="137">
      <c r="A137" s="8" t="inlineStr">
        <is>
          <t>O-06</t>
        </is>
      </c>
      <c r="B137" s="7" t="inlineStr">
        <is>
          <t>O. Product and legal decisions</t>
        </is>
      </c>
      <c r="C137" s="7" t="inlineStr">
        <is>
          <t>PRD addendum</t>
        </is>
      </c>
      <c r="D137" s="7" t="inlineStr">
        <is>
          <t>Machine naming, 360° video and machine models, iOS 17, Hub sign-in, the Generating state, the accuracy target.</t>
        </is>
      </c>
      <c r="E137" s="7" t="inlineStr">
        <is>
          <t>Product owner</t>
        </is>
      </c>
      <c r="F137" s="7" t="inlineStr"/>
      <c r="G137" s="7" t="inlineStr">
        <is>
          <t>Not started</t>
        </is>
      </c>
      <c r="H137" s="7" t="inlineStr"/>
      <c r="I137" s="7" t="inlineStr"/>
    </row>
    <row r="138">
      <c r="A138" s="8" t="inlineStr">
        <is>
          <t>O-07</t>
        </is>
      </c>
      <c r="B138" s="7" t="inlineStr">
        <is>
          <t>O. Product and legal decisions</t>
        </is>
      </c>
      <c r="C138" s="7" t="inlineStr">
        <is>
          <t>TRELLIS.2 licence review</t>
        </is>
      </c>
      <c r="D138" s="7" t="inlineStr">
        <is>
          <t>TRELLIS.2 is MIT, but nvdiffrast's licence allows research and evaluation only; nvdiffrec has its own licence. Decide before any production use.</t>
        </is>
      </c>
      <c r="E138" s="7" t="inlineStr">
        <is>
          <t>Legal</t>
        </is>
      </c>
      <c r="F138" s="7" t="inlineStr">
        <is>
          <t>Tejesh</t>
        </is>
      </c>
      <c r="G138" s="7" t="inlineStr">
        <is>
          <t>Not started</t>
        </is>
      </c>
      <c r="H138" s="7" t="inlineStr"/>
      <c r="I138" s="7" t="inlineStr"/>
    </row>
    <row r="139">
      <c r="A139" s="8" t="inlineStr">
        <is>
          <t>O-08</t>
        </is>
      </c>
      <c r="B139" s="7" t="inlineStr">
        <is>
          <t>O. Product and legal decisions</t>
        </is>
      </c>
      <c r="C139" s="7" t="inlineStr">
        <is>
          <t>Apple Developer account</t>
        </is>
      </c>
      <c r="D139" s="7" t="inlineStr">
        <is>
          <t>Whose account the app ships under, and its listed name.</t>
        </is>
      </c>
      <c r="E139" s="7" t="inlineStr">
        <is>
          <t>Product owner</t>
        </is>
      </c>
      <c r="F139" s="7" t="inlineStr"/>
      <c r="G139" s="7" t="inlineStr">
        <is>
          <t>Not started</t>
        </is>
      </c>
      <c r="H139" s="7" t="inlineStr"/>
      <c r="I139" s="7" t="inlineStr"/>
    </row>
    <row r="140">
      <c r="A140" s="8" t="inlineStr">
        <is>
          <t>O-09</t>
        </is>
      </c>
      <c r="B140" s="7" t="inlineStr">
        <is>
          <t>O. Product and legal decisions</t>
        </is>
      </c>
      <c r="C140" s="7" t="inlineStr">
        <is>
          <t>Machine model reuse across gyms</t>
        </is>
      </c>
      <c r="D140" s="7" t="inlineStr">
        <is>
          <t>Whether approved models can be reused for the same machine in other gyms.</t>
        </is>
      </c>
      <c r="E140" s="7" t="inlineStr">
        <is>
          <t>Product owner</t>
        </is>
      </c>
      <c r="F140" s="7" t="inlineStr"/>
      <c r="G140" s="7" t="inlineStr">
        <is>
          <t>Not started</t>
        </is>
      </c>
      <c r="H140" s="7" t="inlineStr"/>
      <c r="I140" s="7" t="inlineStr"/>
    </row>
  </sheetData>
  <autoFilter ref="A1:I140"/>
  <conditionalFormatting sqref="A2:I500">
    <cfRule type="expression" priority="1" dxfId="0">
      <formula>$E2="Tejesh"</formula>
    </cfRule>
    <cfRule type="expression" priority="2" dxfId="1">
      <formula>$E2="Thomas"</formula>
    </cfRule>
    <cfRule type="expression" priority="3" dxfId="2">
      <formula>$E2="GoalCert team"</formula>
    </cfRule>
    <cfRule type="expression" priority="4" dxfId="3">
      <formula>$E2="Product owner"</formula>
    </cfRule>
    <cfRule type="expression" priority="5" dxfId="4">
      <formula>$E2="Legal"</formula>
    </cfRule>
  </conditionalFormatting>
  <dataValidations count="2">
    <dataValidation sqref="E2:E500" showDropDown="0" showInputMessage="0" showErrorMessage="0" allowBlank="0" type="list">
      <formula1>"Tejesh,Thomas,GoalCert team,Product owner,Legal"</formula1>
    </dataValidation>
    <dataValidation sqref="G2:G500" showDropDown="0" showInputMessage="0" showErrorMessage="0" allowBlank="0" type="list">
      <formula1>"Not started,Partly built,In progress,Done,Blocked"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Tasks by owner and status</t>
        </is>
      </c>
    </row>
    <row r="3">
      <c r="A3" s="6" t="inlineStr">
        <is>
          <t>Owner</t>
        </is>
      </c>
      <c r="B3" s="6" t="inlineStr">
        <is>
          <t>Not started</t>
        </is>
      </c>
      <c r="C3" s="6" t="inlineStr">
        <is>
          <t>Partly built</t>
        </is>
      </c>
      <c r="D3" s="6" t="inlineStr">
        <is>
          <t>In progress</t>
        </is>
      </c>
      <c r="E3" s="6" t="inlineStr">
        <is>
          <t>Done</t>
        </is>
      </c>
      <c r="F3" s="6" t="inlineStr">
        <is>
          <t>Blocked</t>
        </is>
      </c>
      <c r="G3" s="6" t="inlineStr">
        <is>
          <t>Total</t>
        </is>
      </c>
    </row>
    <row r="4">
      <c r="A4" s="9" t="inlineStr">
        <is>
          <t>Tejesh</t>
        </is>
      </c>
      <c r="B4" s="10">
        <f>COUNTIFS('Task plan'!$E$2:$E$500,$A4,'Task plan'!$G$2:$G$500,B$3)</f>
        <v/>
      </c>
      <c r="C4" s="10">
        <f>COUNTIFS('Task plan'!$E$2:$E$500,$A4,'Task plan'!$G$2:$G$500,C$3)</f>
        <v/>
      </c>
      <c r="D4" s="10">
        <f>COUNTIFS('Task plan'!$E$2:$E$500,$A4,'Task plan'!$G$2:$G$500,D$3)</f>
        <v/>
      </c>
      <c r="E4" s="10">
        <f>COUNTIFS('Task plan'!$E$2:$E$500,$A4,'Task plan'!$G$2:$G$500,E$3)</f>
        <v/>
      </c>
      <c r="F4" s="10">
        <f>COUNTIFS('Task plan'!$E$2:$E$500,$A4,'Task plan'!$G$2:$G$500,F$3)</f>
        <v/>
      </c>
      <c r="G4" s="10">
        <f>SUM(B4:F4)</f>
        <v/>
      </c>
    </row>
    <row r="5">
      <c r="A5" s="9" t="inlineStr">
        <is>
          <t>Thomas</t>
        </is>
      </c>
      <c r="B5" s="10">
        <f>COUNTIFS('Task plan'!$E$2:$E$500,$A5,'Task plan'!$G$2:$G$500,B$3)</f>
        <v/>
      </c>
      <c r="C5" s="10">
        <f>COUNTIFS('Task plan'!$E$2:$E$500,$A5,'Task plan'!$G$2:$G$500,C$3)</f>
        <v/>
      </c>
      <c r="D5" s="10">
        <f>COUNTIFS('Task plan'!$E$2:$E$500,$A5,'Task plan'!$G$2:$G$500,D$3)</f>
        <v/>
      </c>
      <c r="E5" s="10">
        <f>COUNTIFS('Task plan'!$E$2:$E$500,$A5,'Task plan'!$G$2:$G$500,E$3)</f>
        <v/>
      </c>
      <c r="F5" s="10">
        <f>COUNTIFS('Task plan'!$E$2:$E$500,$A5,'Task plan'!$G$2:$G$500,F$3)</f>
        <v/>
      </c>
      <c r="G5" s="10">
        <f>SUM(B5:F5)</f>
        <v/>
      </c>
    </row>
    <row r="6">
      <c r="A6" s="9" t="inlineStr">
        <is>
          <t>GoalCert team</t>
        </is>
      </c>
      <c r="B6" s="10">
        <f>COUNTIFS('Task plan'!$E$2:$E$500,$A6,'Task plan'!$G$2:$G$500,B$3)</f>
        <v/>
      </c>
      <c r="C6" s="10">
        <f>COUNTIFS('Task plan'!$E$2:$E$500,$A6,'Task plan'!$G$2:$G$500,C$3)</f>
        <v/>
      </c>
      <c r="D6" s="10">
        <f>COUNTIFS('Task plan'!$E$2:$E$500,$A6,'Task plan'!$G$2:$G$500,D$3)</f>
        <v/>
      </c>
      <c r="E6" s="10">
        <f>COUNTIFS('Task plan'!$E$2:$E$500,$A6,'Task plan'!$G$2:$G$500,E$3)</f>
        <v/>
      </c>
      <c r="F6" s="10">
        <f>COUNTIFS('Task plan'!$E$2:$E$500,$A6,'Task plan'!$G$2:$G$500,F$3)</f>
        <v/>
      </c>
      <c r="G6" s="10">
        <f>SUM(B6:F6)</f>
        <v/>
      </c>
    </row>
    <row r="7">
      <c r="A7" s="9" t="inlineStr">
        <is>
          <t>Product owner</t>
        </is>
      </c>
      <c r="B7" s="10">
        <f>COUNTIFS('Task plan'!$E$2:$E$500,$A7,'Task plan'!$G$2:$G$500,B$3)</f>
        <v/>
      </c>
      <c r="C7" s="10">
        <f>COUNTIFS('Task plan'!$E$2:$E$500,$A7,'Task plan'!$G$2:$G$500,C$3)</f>
        <v/>
      </c>
      <c r="D7" s="10">
        <f>COUNTIFS('Task plan'!$E$2:$E$500,$A7,'Task plan'!$G$2:$G$500,D$3)</f>
        <v/>
      </c>
      <c r="E7" s="10">
        <f>COUNTIFS('Task plan'!$E$2:$E$500,$A7,'Task plan'!$G$2:$G$500,E$3)</f>
        <v/>
      </c>
      <c r="F7" s="10">
        <f>COUNTIFS('Task plan'!$E$2:$E$500,$A7,'Task plan'!$G$2:$G$500,F$3)</f>
        <v/>
      </c>
      <c r="G7" s="10">
        <f>SUM(B7:F7)</f>
        <v/>
      </c>
    </row>
    <row r="8">
      <c r="A8" s="9" t="inlineStr">
        <is>
          <t>Legal</t>
        </is>
      </c>
      <c r="B8" s="10">
        <f>COUNTIFS('Task plan'!$E$2:$E$500,$A8,'Task plan'!$G$2:$G$500,B$3)</f>
        <v/>
      </c>
      <c r="C8" s="10">
        <f>COUNTIFS('Task plan'!$E$2:$E$500,$A8,'Task plan'!$G$2:$G$500,C$3)</f>
        <v/>
      </c>
      <c r="D8" s="10">
        <f>COUNTIFS('Task plan'!$E$2:$E$500,$A8,'Task plan'!$G$2:$G$500,D$3)</f>
        <v/>
      </c>
      <c r="E8" s="10">
        <f>COUNTIFS('Task plan'!$E$2:$E$500,$A8,'Task plan'!$G$2:$G$500,E$3)</f>
        <v/>
      </c>
      <c r="F8" s="10">
        <f>COUNTIFS('Task plan'!$E$2:$E$500,$A8,'Task plan'!$G$2:$G$500,F$3)</f>
        <v/>
      </c>
      <c r="G8" s="10">
        <f>SUM(B8:F8)</f>
        <v/>
      </c>
    </row>
    <row r="9">
      <c r="A9" s="9" t="inlineStr">
        <is>
          <t>Total</t>
        </is>
      </c>
      <c r="B9" s="9">
        <f>SUM(B4:B8)</f>
        <v/>
      </c>
      <c r="C9" s="9">
        <f>SUM(C4:C8)</f>
        <v/>
      </c>
      <c r="D9" s="9">
        <f>SUM(D4:D8)</f>
        <v/>
      </c>
      <c r="E9" s="9">
        <f>SUM(E4:E8)</f>
        <v/>
      </c>
      <c r="F9" s="9">
        <f>SUM(F4:F8)</f>
        <v/>
      </c>
      <c r="G9" s="9">
        <f>SUM(G4:G8)</f>
        <v/>
      </c>
    </row>
    <row r="10">
      <c r="A10" s="10" t="inlineStr">
        <is>
          <t>Check: rows in Task plan</t>
        </is>
      </c>
      <c r="B10" s="10" t="n"/>
      <c r="C10" s="10" t="n"/>
      <c r="D10" s="10" t="n"/>
      <c r="E10" s="10" t="n"/>
      <c r="F10" s="10" t="n"/>
      <c r="G10" s="10">
        <f>COUNTA('Task plan'!$A$2:$A$500)</f>
        <v/>
      </c>
    </row>
    <row r="13">
      <c r="A13" s="1" t="inlineStr">
        <is>
          <t>Tasks by area and owner</t>
        </is>
      </c>
    </row>
    <row r="15">
      <c r="A15" s="6" t="inlineStr">
        <is>
          <t>Area</t>
        </is>
      </c>
      <c r="B15" s="6" t="inlineStr">
        <is>
          <t>Tejesh</t>
        </is>
      </c>
      <c r="C15" s="6" t="inlineStr">
        <is>
          <t>Thomas</t>
        </is>
      </c>
      <c r="D15" s="6" t="inlineStr">
        <is>
          <t>GoalCert team</t>
        </is>
      </c>
      <c r="E15" s="6" t="inlineStr">
        <is>
          <t>Product owner</t>
        </is>
      </c>
      <c r="F15" s="6" t="inlineStr">
        <is>
          <t>Legal</t>
        </is>
      </c>
      <c r="G15" s="6" t="inlineStr">
        <is>
          <t>Total</t>
        </is>
      </c>
    </row>
    <row r="16">
      <c r="A16" s="9" t="inlineStr">
        <is>
          <t>A. Do first: blockers and bugs</t>
        </is>
      </c>
      <c r="B16" s="10">
        <f>COUNTIFS('Task plan'!$B$2:$B$500,$A16,'Task plan'!$E$2:$E$500,B$15)</f>
        <v/>
      </c>
      <c r="C16" s="10">
        <f>COUNTIFS('Task plan'!$B$2:$B$500,$A16,'Task plan'!$E$2:$E$500,C$15)</f>
        <v/>
      </c>
      <c r="D16" s="10">
        <f>COUNTIFS('Task plan'!$B$2:$B$500,$A16,'Task plan'!$E$2:$E$500,D$15)</f>
        <v/>
      </c>
      <c r="E16" s="10">
        <f>COUNTIFS('Task plan'!$B$2:$B$500,$A16,'Task plan'!$E$2:$E$500,E$15)</f>
        <v/>
      </c>
      <c r="F16" s="10">
        <f>COUNTIFS('Task plan'!$B$2:$B$500,$A16,'Task plan'!$E$2:$E$500,F$15)</f>
        <v/>
      </c>
      <c r="G16" s="10">
        <f>SUM(B16:F16)</f>
        <v/>
      </c>
    </row>
    <row r="17">
      <c r="A17" s="9" t="inlineStr">
        <is>
          <t>B. Single sign-in (GoalCert Hub) and accounts</t>
        </is>
      </c>
      <c r="B17" s="10">
        <f>COUNTIFS('Task plan'!$B$2:$B$500,$A17,'Task plan'!$E$2:$E$500,B$15)</f>
        <v/>
      </c>
      <c r="C17" s="10">
        <f>COUNTIFS('Task plan'!$B$2:$B$500,$A17,'Task plan'!$E$2:$E$500,C$15)</f>
        <v/>
      </c>
      <c r="D17" s="10">
        <f>COUNTIFS('Task plan'!$B$2:$B$500,$A17,'Task plan'!$E$2:$E$500,D$15)</f>
        <v/>
      </c>
      <c r="E17" s="10">
        <f>COUNTIFS('Task plan'!$B$2:$B$500,$A17,'Task plan'!$E$2:$E$500,E$15)</f>
        <v/>
      </c>
      <c r="F17" s="10">
        <f>COUNTIFS('Task plan'!$B$2:$B$500,$A17,'Task plan'!$E$2:$E$500,F$15)</f>
        <v/>
      </c>
      <c r="G17" s="10">
        <f>SUM(B17:F17)</f>
        <v/>
      </c>
    </row>
    <row r="18">
      <c r="A18" s="9" t="inlineStr">
        <is>
          <t>C. Database</t>
        </is>
      </c>
      <c r="B18" s="10">
        <f>COUNTIFS('Task plan'!$B$2:$B$500,$A18,'Task plan'!$E$2:$E$500,B$15)</f>
        <v/>
      </c>
      <c r="C18" s="10">
        <f>COUNTIFS('Task plan'!$B$2:$B$500,$A18,'Task plan'!$E$2:$E$500,C$15)</f>
        <v/>
      </c>
      <c r="D18" s="10">
        <f>COUNTIFS('Task plan'!$B$2:$B$500,$A18,'Task plan'!$E$2:$E$500,D$15)</f>
        <v/>
      </c>
      <c r="E18" s="10">
        <f>COUNTIFS('Task plan'!$B$2:$B$500,$A18,'Task plan'!$E$2:$E$500,E$15)</f>
        <v/>
      </c>
      <c r="F18" s="10">
        <f>COUNTIFS('Task plan'!$B$2:$B$500,$A18,'Task plan'!$E$2:$E$500,F$15)</f>
        <v/>
      </c>
      <c r="G18" s="10">
        <f>SUM(B18:F18)</f>
        <v/>
      </c>
    </row>
    <row r="19">
      <c r="A19" s="9" t="inlineStr">
        <is>
          <t>D. Backend services</t>
        </is>
      </c>
      <c r="B19" s="10">
        <f>COUNTIFS('Task plan'!$B$2:$B$500,$A19,'Task plan'!$E$2:$E$500,B$15)</f>
        <v/>
      </c>
      <c r="C19" s="10">
        <f>COUNTIFS('Task plan'!$B$2:$B$500,$A19,'Task plan'!$E$2:$E$500,C$15)</f>
        <v/>
      </c>
      <c r="D19" s="10">
        <f>COUNTIFS('Task plan'!$B$2:$B$500,$A19,'Task plan'!$E$2:$E$500,D$15)</f>
        <v/>
      </c>
      <c r="E19" s="10">
        <f>COUNTIFS('Task plan'!$B$2:$B$500,$A19,'Task plan'!$E$2:$E$500,E$15)</f>
        <v/>
      </c>
      <c r="F19" s="10">
        <f>COUNTIFS('Task plan'!$B$2:$B$500,$A19,'Task plan'!$E$2:$E$500,F$15)</f>
        <v/>
      </c>
      <c r="G19" s="10">
        <f>SUM(B19:F19)</f>
        <v/>
      </c>
    </row>
    <row r="20">
      <c r="A20" s="9" t="inlineStr">
        <is>
          <t>E. Processing pipeline</t>
        </is>
      </c>
      <c r="B20" s="10">
        <f>COUNTIFS('Task plan'!$B$2:$B$500,$A20,'Task plan'!$E$2:$E$500,B$15)</f>
        <v/>
      </c>
      <c r="C20" s="10">
        <f>COUNTIFS('Task plan'!$B$2:$B$500,$A20,'Task plan'!$E$2:$E$500,C$15)</f>
        <v/>
      </c>
      <c r="D20" s="10">
        <f>COUNTIFS('Task plan'!$B$2:$B$500,$A20,'Task plan'!$E$2:$E$500,D$15)</f>
        <v/>
      </c>
      <c r="E20" s="10">
        <f>COUNTIFS('Task plan'!$B$2:$B$500,$A20,'Task plan'!$E$2:$E$500,E$15)</f>
        <v/>
      </c>
      <c r="F20" s="10">
        <f>COUNTIFS('Task plan'!$B$2:$B$500,$A20,'Task plan'!$E$2:$E$500,F$15)</f>
        <v/>
      </c>
      <c r="G20" s="10">
        <f>SUM(B20:F20)</f>
        <v/>
      </c>
    </row>
    <row r="21">
      <c r="A21" s="9" t="inlineStr">
        <is>
          <t>F. Big rooms: scan to 2D plan</t>
        </is>
      </c>
      <c r="B21" s="10">
        <f>COUNTIFS('Task plan'!$B$2:$B$500,$A21,'Task plan'!$E$2:$E$500,B$15)</f>
        <v/>
      </c>
      <c r="C21" s="10">
        <f>COUNTIFS('Task plan'!$B$2:$B$500,$A21,'Task plan'!$E$2:$E$500,C$15)</f>
        <v/>
      </c>
      <c r="D21" s="10">
        <f>COUNTIFS('Task plan'!$B$2:$B$500,$A21,'Task plan'!$E$2:$E$500,D$15)</f>
        <v/>
      </c>
      <c r="E21" s="10">
        <f>COUNTIFS('Task plan'!$B$2:$B$500,$A21,'Task plan'!$E$2:$E$500,E$15)</f>
        <v/>
      </c>
      <c r="F21" s="10">
        <f>COUNTIFS('Task plan'!$B$2:$B$500,$A21,'Task plan'!$E$2:$E$500,F$15)</f>
        <v/>
      </c>
      <c r="G21" s="10">
        <f>SUM(B21:F21)</f>
        <v/>
      </c>
    </row>
    <row r="22">
      <c r="A22" s="9" t="inlineStr">
        <is>
          <t>G. 2D plan contents (plan format v2)</t>
        </is>
      </c>
      <c r="B22" s="10">
        <f>COUNTIFS('Task plan'!$B$2:$B$500,$A22,'Task plan'!$E$2:$E$500,B$15)</f>
        <v/>
      </c>
      <c r="C22" s="10">
        <f>COUNTIFS('Task plan'!$B$2:$B$500,$A22,'Task plan'!$E$2:$E$500,C$15)</f>
        <v/>
      </c>
      <c r="D22" s="10">
        <f>COUNTIFS('Task plan'!$B$2:$B$500,$A22,'Task plan'!$E$2:$E$500,D$15)</f>
        <v/>
      </c>
      <c r="E22" s="10">
        <f>COUNTIFS('Task plan'!$B$2:$B$500,$A22,'Task plan'!$E$2:$E$500,E$15)</f>
        <v/>
      </c>
      <c r="F22" s="10">
        <f>COUNTIFS('Task plan'!$B$2:$B$500,$A22,'Task plan'!$E$2:$E$500,F$15)</f>
        <v/>
      </c>
      <c r="G22" s="10">
        <f>SUM(B22:F22)</f>
        <v/>
      </c>
    </row>
    <row r="23">
      <c r="A23" s="9" t="inlineStr">
        <is>
          <t>H. Reviewer editor (web, 2D)</t>
        </is>
      </c>
      <c r="B23" s="10">
        <f>COUNTIFS('Task plan'!$B$2:$B$500,$A23,'Task plan'!$E$2:$E$500,B$15)</f>
        <v/>
      </c>
      <c r="C23" s="10">
        <f>COUNTIFS('Task plan'!$B$2:$B$500,$A23,'Task plan'!$E$2:$E$500,C$15)</f>
        <v/>
      </c>
      <c r="D23" s="10">
        <f>COUNTIFS('Task plan'!$B$2:$B$500,$A23,'Task plan'!$E$2:$E$500,D$15)</f>
        <v/>
      </c>
      <c r="E23" s="10">
        <f>COUNTIFS('Task plan'!$B$2:$B$500,$A23,'Task plan'!$E$2:$E$500,E$15)</f>
        <v/>
      </c>
      <c r="F23" s="10">
        <f>COUNTIFS('Task plan'!$B$2:$B$500,$A23,'Task plan'!$E$2:$E$500,F$15)</f>
        <v/>
      </c>
      <c r="G23" s="10">
        <f>SUM(B23:F23)</f>
        <v/>
      </c>
    </row>
    <row r="24">
      <c r="A24" s="9" t="inlineStr">
        <is>
          <t>I. iPhone app</t>
        </is>
      </c>
      <c r="B24" s="10">
        <f>COUNTIFS('Task plan'!$B$2:$B$500,$A24,'Task plan'!$E$2:$E$500,B$15)</f>
        <v/>
      </c>
      <c r="C24" s="10">
        <f>COUNTIFS('Task plan'!$B$2:$B$500,$A24,'Task plan'!$E$2:$E$500,C$15)</f>
        <v/>
      </c>
      <c r="D24" s="10">
        <f>COUNTIFS('Task plan'!$B$2:$B$500,$A24,'Task plan'!$E$2:$E$500,D$15)</f>
        <v/>
      </c>
      <c r="E24" s="10">
        <f>COUNTIFS('Task plan'!$B$2:$B$500,$A24,'Task plan'!$E$2:$E$500,E$15)</f>
        <v/>
      </c>
      <c r="F24" s="10">
        <f>COUNTIFS('Task plan'!$B$2:$B$500,$A24,'Task plan'!$E$2:$E$500,F$15)</f>
        <v/>
      </c>
      <c r="G24" s="10">
        <f>SUM(B24:F24)</f>
        <v/>
      </c>
    </row>
    <row r="25">
      <c r="A25" s="9" t="inlineStr">
        <is>
          <t>J. 2D to 3D generation</t>
        </is>
      </c>
      <c r="B25" s="10">
        <f>COUNTIFS('Task plan'!$B$2:$B$500,$A25,'Task plan'!$E$2:$E$500,B$15)</f>
        <v/>
      </c>
      <c r="C25" s="10">
        <f>COUNTIFS('Task plan'!$B$2:$B$500,$A25,'Task plan'!$E$2:$E$500,C$15)</f>
        <v/>
      </c>
      <c r="D25" s="10">
        <f>COUNTIFS('Task plan'!$B$2:$B$500,$A25,'Task plan'!$E$2:$E$500,D$15)</f>
        <v/>
      </c>
      <c r="E25" s="10">
        <f>COUNTIFS('Task plan'!$B$2:$B$500,$A25,'Task plan'!$E$2:$E$500,E$15)</f>
        <v/>
      </c>
      <c r="F25" s="10">
        <f>COUNTIFS('Task plan'!$B$2:$B$500,$A25,'Task plan'!$E$2:$E$500,F$15)</f>
        <v/>
      </c>
      <c r="G25" s="10">
        <f>SUM(B25:F25)</f>
        <v/>
      </c>
    </row>
    <row r="26">
      <c r="A26" s="9" t="inlineStr">
        <is>
          <t>K. Walkthrough viewer (web, 3D)</t>
        </is>
      </c>
      <c r="B26" s="10">
        <f>COUNTIFS('Task plan'!$B$2:$B$500,$A26,'Task plan'!$E$2:$E$500,B$15)</f>
        <v/>
      </c>
      <c r="C26" s="10">
        <f>COUNTIFS('Task plan'!$B$2:$B$500,$A26,'Task plan'!$E$2:$E$500,C$15)</f>
        <v/>
      </c>
      <c r="D26" s="10">
        <f>COUNTIFS('Task plan'!$B$2:$B$500,$A26,'Task plan'!$E$2:$E$500,D$15)</f>
        <v/>
      </c>
      <c r="E26" s="10">
        <f>COUNTIFS('Task plan'!$B$2:$B$500,$A26,'Task plan'!$E$2:$E$500,E$15)</f>
        <v/>
      </c>
      <c r="F26" s="10">
        <f>COUNTIFS('Task plan'!$B$2:$B$500,$A26,'Task plan'!$E$2:$E$500,F$15)</f>
        <v/>
      </c>
      <c r="G26" s="10">
        <f>SUM(B26:F26)</f>
        <v/>
      </c>
    </row>
    <row r="27">
      <c r="A27" s="9" t="inlineStr">
        <is>
          <t>L. Equipment 3D from the 360° video</t>
        </is>
      </c>
      <c r="B27" s="10">
        <f>COUNTIFS('Task plan'!$B$2:$B$500,$A27,'Task plan'!$E$2:$E$500,B$15)</f>
        <v/>
      </c>
      <c r="C27" s="10">
        <f>COUNTIFS('Task plan'!$B$2:$B$500,$A27,'Task plan'!$E$2:$E$500,C$15)</f>
        <v/>
      </c>
      <c r="D27" s="10">
        <f>COUNTIFS('Task plan'!$B$2:$B$500,$A27,'Task plan'!$E$2:$E$500,D$15)</f>
        <v/>
      </c>
      <c r="E27" s="10">
        <f>COUNTIFS('Task plan'!$B$2:$B$500,$A27,'Task plan'!$E$2:$E$500,E$15)</f>
        <v/>
      </c>
      <c r="F27" s="10">
        <f>COUNTIFS('Task plan'!$B$2:$B$500,$A27,'Task plan'!$E$2:$E$500,F$15)</f>
        <v/>
      </c>
      <c r="G27" s="10">
        <f>SUM(B27:F27)</f>
        <v/>
      </c>
    </row>
    <row r="28">
      <c r="A28" s="9" t="inlineStr">
        <is>
          <t>M. Deployment in Flex AWS</t>
        </is>
      </c>
      <c r="B28" s="10">
        <f>COUNTIFS('Task plan'!$B$2:$B$500,$A28,'Task plan'!$E$2:$E$500,B$15)</f>
        <v/>
      </c>
      <c r="C28" s="10">
        <f>COUNTIFS('Task plan'!$B$2:$B$500,$A28,'Task plan'!$E$2:$E$500,C$15)</f>
        <v/>
      </c>
      <c r="D28" s="10">
        <f>COUNTIFS('Task plan'!$B$2:$B$500,$A28,'Task plan'!$E$2:$E$500,D$15)</f>
        <v/>
      </c>
      <c r="E28" s="10">
        <f>COUNTIFS('Task plan'!$B$2:$B$500,$A28,'Task plan'!$E$2:$E$500,E$15)</f>
        <v/>
      </c>
      <c r="F28" s="10">
        <f>COUNTIFS('Task plan'!$B$2:$B$500,$A28,'Task plan'!$E$2:$E$500,F$15)</f>
        <v/>
      </c>
      <c r="G28" s="10">
        <f>SUM(B28:F28)</f>
        <v/>
      </c>
    </row>
    <row r="29">
      <c r="A29" s="9" t="inlineStr">
        <is>
          <t>N. GoalCert side</t>
        </is>
      </c>
      <c r="B29" s="10">
        <f>COUNTIFS('Task plan'!$B$2:$B$500,$A29,'Task plan'!$E$2:$E$500,B$15)</f>
        <v/>
      </c>
      <c r="C29" s="10">
        <f>COUNTIFS('Task plan'!$B$2:$B$500,$A29,'Task plan'!$E$2:$E$500,C$15)</f>
        <v/>
      </c>
      <c r="D29" s="10">
        <f>COUNTIFS('Task plan'!$B$2:$B$500,$A29,'Task plan'!$E$2:$E$500,D$15)</f>
        <v/>
      </c>
      <c r="E29" s="10">
        <f>COUNTIFS('Task plan'!$B$2:$B$500,$A29,'Task plan'!$E$2:$E$500,E$15)</f>
        <v/>
      </c>
      <c r="F29" s="10">
        <f>COUNTIFS('Task plan'!$B$2:$B$500,$A29,'Task plan'!$E$2:$E$500,F$15)</f>
        <v/>
      </c>
      <c r="G29" s="10">
        <f>SUM(B29:F29)</f>
        <v/>
      </c>
    </row>
    <row r="30">
      <c r="A30" s="9" t="inlineStr">
        <is>
          <t>O. Product and legal decisions</t>
        </is>
      </c>
      <c r="B30" s="10">
        <f>COUNTIFS('Task plan'!$B$2:$B$500,$A30,'Task plan'!$E$2:$E$500,B$15)</f>
        <v/>
      </c>
      <c r="C30" s="10">
        <f>COUNTIFS('Task plan'!$B$2:$B$500,$A30,'Task plan'!$E$2:$E$500,C$15)</f>
        <v/>
      </c>
      <c r="D30" s="10">
        <f>COUNTIFS('Task plan'!$B$2:$B$500,$A30,'Task plan'!$E$2:$E$500,D$15)</f>
        <v/>
      </c>
      <c r="E30" s="10">
        <f>COUNTIFS('Task plan'!$B$2:$B$500,$A30,'Task plan'!$E$2:$E$500,E$15)</f>
        <v/>
      </c>
      <c r="F30" s="10">
        <f>COUNTIFS('Task plan'!$B$2:$B$500,$A30,'Task plan'!$E$2:$E$500,F$15)</f>
        <v/>
      </c>
      <c r="G30" s="10">
        <f>SUM(B30:F30)</f>
        <v/>
      </c>
    </row>
    <row r="31">
      <c r="A31" s="9" t="inlineStr">
        <is>
          <t>Total</t>
        </is>
      </c>
      <c r="B31" s="9">
        <f>SUM(B16:B30)</f>
        <v/>
      </c>
      <c r="C31" s="9">
        <f>SUM(C16:C30)</f>
        <v/>
      </c>
      <c r="D31" s="9">
        <f>SUM(D16:D30)</f>
        <v/>
      </c>
      <c r="E31" s="9">
        <f>SUM(E16:E30)</f>
        <v/>
      </c>
      <c r="F31" s="9">
        <f>SUM(F16:F30)</f>
        <v/>
      </c>
      <c r="G31" s="9">
        <f>SUM(G16:G30)</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46" customWidth="1" min="3" max="3"/>
    <col width="50" customWidth="1" min="4" max="4"/>
    <col width="20" customWidth="1" min="5" max="5"/>
    <col width="30" customWidth="1" min="6" max="6"/>
  </cols>
  <sheetData>
    <row r="1">
      <c r="A1" s="6" t="inlineStr">
        <is>
          <t>Part</t>
        </is>
      </c>
      <c r="B1" s="6" t="inlineStr">
        <is>
          <t>What was checked</t>
        </is>
      </c>
      <c r="C1" s="6" t="inlineStr">
        <is>
          <t>Microsoft's code / the licence</t>
        </is>
      </c>
      <c r="D1" s="6" t="inlineStr">
        <is>
          <t>Digital Twin code</t>
        </is>
      </c>
      <c r="E1" s="6" t="inlineStr">
        <is>
          <t>Verdict</t>
        </is>
      </c>
      <c r="F1" s="6" t="inlineStr">
        <is>
          <t>Action</t>
        </is>
      </c>
    </row>
    <row r="2">
      <c r="A2" s="8" t="inlineStr">
        <is>
          <t>TRELLIS.2 worker</t>
        </is>
      </c>
      <c r="B2" s="7" t="inlineStr">
        <is>
          <t>Model and pipeline class</t>
        </is>
      </c>
      <c r="C2" s="7" t="inlineStr">
        <is>
          <t>microsoft/TRELLIS.2-4B, Trellis2ImageTo3DPipeline</t>
        </is>
      </c>
      <c r="D2" s="7" t="inlineStr">
        <is>
          <t>Same</t>
        </is>
      </c>
      <c r="E2" s="11" t="inlineStr">
        <is>
          <t>Same</t>
        </is>
      </c>
      <c r="F2" s="7" t="inlineStr"/>
    </row>
    <row r="3">
      <c r="A3" s="8" t="inlineStr">
        <is>
          <t>TRELLIS.2 worker</t>
        </is>
      </c>
      <c r="B3" s="7" t="inlineStr">
        <is>
          <t>Sparse-structure sampler defaults</t>
        </is>
      </c>
      <c r="C3" s="7" t="inlineStr">
        <is>
          <t>12 steps, guidance 7.5, rescale 0.7, rescale_t 5.0</t>
        </is>
      </c>
      <c r="D3" s="7" t="inlineStr">
        <is>
          <t>Same</t>
        </is>
      </c>
      <c r="E3" s="11" t="inlineStr">
        <is>
          <t>Same</t>
        </is>
      </c>
      <c r="F3" s="7" t="inlineStr"/>
    </row>
    <row r="4">
      <c r="A4" s="8" t="inlineStr">
        <is>
          <t>TRELLIS.2 worker</t>
        </is>
      </c>
      <c r="B4" s="7" t="inlineStr">
        <is>
          <t>Shape sampler defaults</t>
        </is>
      </c>
      <c r="C4" s="7" t="inlineStr">
        <is>
          <t>12, 7.5, 0.5, 3.0</t>
        </is>
      </c>
      <c r="D4" s="7" t="inlineStr">
        <is>
          <t>Same</t>
        </is>
      </c>
      <c r="E4" s="11" t="inlineStr">
        <is>
          <t>Same</t>
        </is>
      </c>
      <c r="F4" s="7" t="inlineStr"/>
    </row>
    <row r="5">
      <c r="A5" s="8" t="inlineStr">
        <is>
          <t>TRELLIS.2 worker</t>
        </is>
      </c>
      <c r="B5" s="7" t="inlineStr">
        <is>
          <t>Texture sampler defaults</t>
        </is>
      </c>
      <c r="C5" s="7" t="inlineStr">
        <is>
          <t>12, 1.0, 0.0, 3.0</t>
        </is>
      </c>
      <c r="D5" s="7" t="inlineStr">
        <is>
          <t>Same</t>
        </is>
      </c>
      <c r="E5" s="11" t="inlineStr">
        <is>
          <t>Same</t>
        </is>
      </c>
      <c r="F5" s="7" t="inlineStr"/>
    </row>
    <row r="6">
      <c r="A6" s="8" t="inlineStr">
        <is>
          <t>TRELLIS.2 worker</t>
        </is>
      </c>
      <c r="B6" s="7" t="inlineStr">
        <is>
          <t>Allowed range of each setting</t>
        </is>
      </c>
      <c r="C6" s="7" t="inlineStr">
        <is>
          <t>app.py slider bounds</t>
        </is>
      </c>
      <c r="D6" s="7" t="inlineStr">
        <is>
          <t>Same bounds</t>
        </is>
      </c>
      <c r="E6" s="11" t="inlineStr">
        <is>
          <t>Same</t>
        </is>
      </c>
      <c r="F6" s="7" t="inlineStr"/>
    </row>
    <row r="7">
      <c r="A7" s="8" t="inlineStr">
        <is>
          <t>TRELLIS.2 worker</t>
        </is>
      </c>
      <c r="B7" s="7" t="inlineStr">
        <is>
          <t>Resolution to pipeline mapping</t>
        </is>
      </c>
      <c r="C7" s="7" t="inlineStr">
        <is>
          <t>512 → 512, 1024 → 1024_cascade, 1536 → 1536_cascade</t>
        </is>
      </c>
      <c r="D7" s="7" t="inlineStr">
        <is>
          <t>Same</t>
        </is>
      </c>
      <c r="E7" s="11" t="inlineStr">
        <is>
          <t>Same</t>
        </is>
      </c>
      <c r="F7" s="7" t="inlineStr"/>
    </row>
    <row r="8">
      <c r="A8" s="8" t="inlineStr">
        <is>
          <t>TRELLIS.2 worker</t>
        </is>
      </c>
      <c r="B8" s="7" t="inlineStr">
        <is>
          <t>Mesh clamp before export</t>
        </is>
      </c>
      <c r="C8" s="7" t="inlineStr">
        <is>
          <t>mesh.simplify(16777216)</t>
        </is>
      </c>
      <c r="D8" s="7" t="inlineStr">
        <is>
          <t>Same</t>
        </is>
      </c>
      <c r="E8" s="11" t="inlineStr">
        <is>
          <t>Same</t>
        </is>
      </c>
      <c r="F8" s="7" t="inlineStr"/>
    </row>
    <row r="9">
      <c r="A9" s="8" t="inlineStr">
        <is>
          <t>TRELLIS.2 worker</t>
        </is>
      </c>
      <c r="B9" s="7" t="inlineStr">
        <is>
          <t>GLB export arguments</t>
        </is>
      </c>
      <c r="C9" s="7" t="inlineStr">
        <is>
          <t>to_glb: aabb ±0.5, remesh True, band 1, project 0; WebP textures</t>
        </is>
      </c>
      <c r="D9" s="7" t="inlineStr">
        <is>
          <t>Same (reads the export function's signature to pick the right argument names)</t>
        </is>
      </c>
      <c r="E9" s="11" t="inlineStr">
        <is>
          <t>Same</t>
        </is>
      </c>
      <c r="F9" s="7" t="inlineStr"/>
    </row>
    <row r="10">
      <c r="A10" s="8" t="inlineStr">
        <is>
          <t>TRELLIS.2 worker</t>
        </is>
      </c>
      <c r="B10" s="7" t="inlineStr">
        <is>
          <t>Face and texture defaults</t>
        </is>
      </c>
      <c r="C10" s="7" t="inlineStr">
        <is>
          <t>500,000 faces, 2048 textures (app.py)</t>
        </is>
      </c>
      <c r="D10" s="7" t="inlineStr">
        <is>
          <t>Worker: same. The Digital Twin orchestrator sends 1024 textures by default</t>
        </is>
      </c>
      <c r="E10" s="12" t="inlineStr">
        <is>
          <t>Small difference</t>
        </is>
      </c>
      <c r="F10" s="7" t="inlineStr">
        <is>
          <t>Set it explicitly in our own job</t>
        </is>
      </c>
    </row>
    <row r="11">
      <c r="A11" s="8" t="inlineStr">
        <is>
          <t>TRELLIS.2 worker</t>
        </is>
      </c>
      <c r="B11" s="7" t="inlineStr">
        <is>
          <t>Seed</t>
        </is>
      </c>
      <c r="C11" s="7" t="inlineStr">
        <is>
          <t>run() default 42; app.py picks one at random</t>
        </is>
      </c>
      <c r="D11" s="7" t="inlineStr">
        <is>
          <t>1</t>
        </is>
      </c>
      <c r="E11" s="12" t="inlineStr">
        <is>
          <t>Small difference</t>
        </is>
      </c>
      <c r="F11" s="7" t="inlineStr">
        <is>
          <t>Store the seed with each model</t>
        </is>
      </c>
    </row>
    <row r="12">
      <c r="A12" s="8" t="inlineStr">
        <is>
          <t>TRELLIS.2 worker</t>
        </is>
      </c>
      <c r="B12" s="7" t="inlineStr">
        <is>
          <t>Background removal</t>
        </is>
      </c>
      <c r="C12" s="7" t="inlineStr">
        <is>
          <t>RMBG-2.0 inside run()</t>
        </is>
      </c>
      <c r="D12" s="7" t="inlineStr">
        <is>
          <t>Same</t>
        </is>
      </c>
      <c r="E12" s="11" t="inlineStr">
        <is>
          <t>Same, but the licence blocks commercial use</t>
        </is>
      </c>
      <c r="F12" s="7" t="inlineStr">
        <is>
          <t>L-12</t>
        </is>
      </c>
    </row>
    <row r="13">
      <c r="A13" s="8" t="inlineStr">
        <is>
          <t>TRELLIS.2 worker</t>
        </is>
      </c>
      <c r="B13" s="7" t="inlineStr">
        <is>
          <t>Several images of one object</t>
        </is>
      </c>
      <c r="C13" s="7" t="inlineStr">
        <is>
          <t>Not supported by TRELLIS.2</t>
        </is>
      </c>
      <c r="D13" s="7" t="inlineStr">
        <is>
          <t>Extra images ignored</t>
        </is>
      </c>
      <c r="E13" s="11" t="inlineStr">
        <is>
          <t>Correct</t>
        </is>
      </c>
      <c r="F13" s="7" t="inlineStr">
        <is>
          <t>Pick the best frame</t>
        </is>
      </c>
    </row>
    <row r="14">
      <c r="A14" s="8" t="inlineStr">
        <is>
          <t>TRELLIS.2 worker</t>
        </is>
      </c>
      <c r="B14" s="7" t="inlineStr">
        <is>
          <t>Is Microsoft's code changed?</t>
        </is>
      </c>
      <c r="C14" s="7" t="inlineStr">
        <is>
          <t>—</t>
        </is>
      </c>
      <c r="D14" s="7" t="inlineStr">
        <is>
          <t>No: it clones Microsoft's repository and runs Microsoft's setup.sh</t>
        </is>
      </c>
      <c r="E14" s="11" t="inlineStr">
        <is>
          <t>Same</t>
        </is>
      </c>
      <c r="F14" s="7" t="inlineStr"/>
    </row>
    <row r="15">
      <c r="A15" s="8" t="inlineStr">
        <is>
          <t>TRELLIS.2 worker</t>
        </is>
      </c>
      <c r="B15" s="7" t="inlineStr">
        <is>
          <t>Version pinning</t>
        </is>
      </c>
      <c r="C15" s="7" t="inlineStr">
        <is>
          <t>—</t>
        </is>
      </c>
      <c r="D15" s="7" t="inlineStr">
        <is>
          <t>Clones main; extensions unpinned</t>
        </is>
      </c>
      <c r="E15" s="13" t="inlineStr">
        <is>
          <t>Not reproducible</t>
        </is>
      </c>
      <c r="F15" s="7" t="inlineStr">
        <is>
          <t>L-11</t>
        </is>
      </c>
    </row>
    <row r="16">
      <c r="A16" s="8" t="inlineStr">
        <is>
          <t>TRELLIS.2 worker</t>
        </is>
      </c>
      <c r="B16" s="7" t="inlineStr">
        <is>
          <t>Leftover settings</t>
        </is>
      </c>
      <c r="C16" s="7" t="inlineStr">
        <is>
          <t>—</t>
        </is>
      </c>
      <c r="D16" s="7" t="inlineStr">
        <is>
          <t>SPCONV_ALGO (TRELLIS 1 only); nvdiffrec built but only used for preview videos</t>
        </is>
      </c>
      <c r="E16" s="12" t="inlineStr">
        <is>
          <t>Harmless</t>
        </is>
      </c>
      <c r="F16" s="7" t="inlineStr">
        <is>
          <t>L-13</t>
        </is>
      </c>
    </row>
    <row r="17">
      <c r="A17" s="8" t="inlineStr">
        <is>
          <t>TRELLIS.2 worker</t>
        </is>
      </c>
      <c r="B17" s="7" t="inlineStr">
        <is>
          <t>Has it ever run?</t>
        </is>
      </c>
      <c r="C17" s="7" t="inlineStr">
        <is>
          <t>—</t>
        </is>
      </c>
      <c r="D17" s="7" t="inlineStr">
        <is>
          <t>All 8 saved jobs ran TRELLIS 1 (TRELLIS-image-large)</t>
        </is>
      </c>
      <c r="E17" s="13" t="inlineStr">
        <is>
          <t>Never deployed</t>
        </is>
      </c>
      <c r="F17" s="7" t="inlineStr">
        <is>
          <t>L-14</t>
        </is>
      </c>
    </row>
    <row r="18">
      <c r="A18" s="8" t="inlineStr">
        <is>
          <t>TRELLIS 1 worker</t>
        </is>
      </c>
      <c r="B18" s="7" t="inlineStr">
        <is>
          <t>Model calls (run, run_multi_image, to_glb)</t>
        </is>
      </c>
      <c r="C18" s="7" t="inlineStr">
        <is>
          <t>Microsoft's TRELLIS API</t>
        </is>
      </c>
      <c r="D18" s="7" t="inlineStr">
        <is>
          <t>Same</t>
        </is>
      </c>
      <c r="E18" s="11" t="inlineStr">
        <is>
          <t>Same</t>
        </is>
      </c>
      <c r="F18" s="7" t="inlineStr"/>
    </row>
    <row r="19">
      <c r="A19" s="8" t="inlineStr">
        <is>
          <t>TRELLIS 1 worker</t>
        </is>
      </c>
      <c r="B19" s="7" t="inlineStr">
        <is>
          <t>Docker build</t>
        </is>
      </c>
      <c r="C19" s="7" t="inlineStr">
        <is>
          <t>Microsoft's setup.sh</t>
        </is>
      </c>
      <c r="D19" s="7" t="inlineStr">
        <is>
          <t>Hand-written package list without utils3d, which Microsoft's GLB export imports</t>
        </is>
      </c>
      <c r="E19" s="14" t="inlineStr">
        <is>
          <t>Broken as written</t>
        </is>
      </c>
      <c r="F19" s="7" t="inlineStr">
        <is>
          <t>Do not use for the gym project</t>
        </is>
      </c>
    </row>
    <row r="20">
      <c r="A20" s="8" t="inlineStr">
        <is>
          <t>TRELLIS 1 worker</t>
        </is>
      </c>
      <c r="B20" s="7" t="inlineStr">
        <is>
          <t>Settings the live endpoint used</t>
        </is>
      </c>
      <c r="C20" s="7" t="inlineStr">
        <is>
          <t>12 steps, simplify 0.95 (example.py)</t>
        </is>
      </c>
      <c r="D20" s="7" t="inlineStr">
        <is>
          <t>25 steps, simplify 0.90</t>
        </is>
      </c>
      <c r="E20" s="13" t="inlineStr">
        <is>
          <t>Not Microsoft's settings</t>
        </is>
      </c>
      <c r="F20" s="7" t="inlineStr">
        <is>
          <t>—</t>
        </is>
      </c>
    </row>
    <row r="21">
      <c r="A21" s="8" t="inlineStr">
        <is>
          <t>Orchestrator</t>
        </is>
      </c>
      <c r="B21" s="7" t="inlineStr">
        <is>
          <t>'faithful' chain</t>
        </is>
      </c>
      <c r="C21" s="7" t="inlineStr">
        <is>
          <t>Original image in; the model's own pre- and post-processing</t>
        </is>
      </c>
      <c r="D21" s="7" t="inlineStr">
        <is>
          <t>Same</t>
        </is>
      </c>
      <c r="E21" s="11" t="inlineStr">
        <is>
          <t>Same</t>
        </is>
      </c>
      <c r="F21" s="7" t="inlineStr"/>
    </row>
    <row r="22">
      <c r="A22" s="8" t="inlineStr">
        <is>
          <t>Orchestrator</t>
        </is>
      </c>
      <c r="B22" s="7" t="inlineStr">
        <is>
          <t>'legacy' chain</t>
        </is>
      </c>
      <c r="C22" s="7" t="inlineStr">
        <is>
          <t>—</t>
        </is>
      </c>
      <c r="D22" s="7" t="inlineStr">
        <is>
          <t>Own matting, sharpening, repair and LODs around the model</t>
        </is>
      </c>
      <c r="E22" s="13" t="inlineStr">
        <is>
          <t>Not Microsoft's</t>
        </is>
      </c>
      <c r="F22" s="7" t="inlineStr">
        <is>
          <t>Do not use</t>
        </is>
      </c>
    </row>
    <row r="23">
      <c r="A23" s="8" t="inlineStr">
        <is>
          <t>Orchestrator</t>
        </is>
      </c>
      <c r="B23" s="7" t="inlineStr">
        <is>
          <t>Configuration</t>
        </is>
      </c>
      <c r="C23" s="7" t="inlineStr">
        <is>
          <t>—</t>
        </is>
      </c>
      <c r="D23" s="7" t="inlineStr">
        <is>
          <t>README says the default is 'auto', the code says 'faithful'; texture default 1024 in code, 2048 in .env.example</t>
        </is>
      </c>
      <c r="E23" s="12" t="inlineStr">
        <is>
          <t>Inconsistent</t>
        </is>
      </c>
      <c r="F23" s="7" t="inlineStr">
        <is>
          <t>Not reused; our backend runs its own job</t>
        </is>
      </c>
    </row>
    <row r="24">
      <c r="A24" s="8" t="inlineStr">
        <is>
          <t>Orchestrator</t>
        </is>
      </c>
      <c r="B24" s="7" t="inlineStr">
        <is>
          <t>Real-world size</t>
        </is>
      </c>
      <c r="C24" s="7" t="inlineStr">
        <is>
          <t>Model sits in a ±0.5 unit cube</t>
        </is>
      </c>
      <c r="D24" s="7" t="inlineStr">
        <is>
          <t>No scaling</t>
        </is>
      </c>
      <c r="E24" s="13" t="inlineStr">
        <is>
          <t>Missing for gyms</t>
        </is>
      </c>
      <c r="F24" s="7" t="inlineStr">
        <is>
          <t>L-06</t>
        </is>
      </c>
    </row>
    <row r="25">
      <c r="A25" s="8" t="inlineStr">
        <is>
          <t>Orchestrator</t>
        </is>
      </c>
      <c r="B25" s="7" t="inlineStr">
        <is>
          <t>File size</t>
        </is>
      </c>
      <c r="C25" s="7" t="inlineStr">
        <is>
          <t>—</t>
        </is>
      </c>
      <c r="D25" s="7" t="inlineStr">
        <is>
          <t>1–7 MB per model in the saved jobs</t>
        </is>
      </c>
      <c r="E25" s="13" t="inlineStr">
        <is>
          <t>Too heavy for 25 MB per level</t>
        </is>
      </c>
      <c r="F25" s="7" t="inlineStr">
        <is>
          <t>L-06 (lighter version for the viewer)</t>
        </is>
      </c>
    </row>
    <row r="26">
      <c r="A26" s="8" t="inlineStr">
        <is>
          <t>Licences</t>
        </is>
      </c>
      <c r="B26" s="7" t="inlineStr">
        <is>
          <t>TRELLIS.2 code and weights</t>
        </is>
      </c>
      <c r="C26" s="7" t="inlineStr">
        <is>
          <t>MIT</t>
        </is>
      </c>
      <c r="D26" s="7" t="inlineStr"/>
      <c r="E26" s="11" t="inlineStr">
        <is>
          <t>OK</t>
        </is>
      </c>
      <c r="F26" s="7" t="inlineStr"/>
    </row>
    <row r="27">
      <c r="A27" s="8" t="inlineStr">
        <is>
          <t>Licences</t>
        </is>
      </c>
      <c r="B27" s="7" t="inlineStr">
        <is>
          <t>CuMesh, FlexGEMM, utils3d, flash-attn</t>
        </is>
      </c>
      <c r="C27" s="7" t="inlineStr">
        <is>
          <t>MIT / BSD-3</t>
        </is>
      </c>
      <c r="D27" s="7" t="inlineStr"/>
      <c r="E27" s="11" t="inlineStr">
        <is>
          <t>OK</t>
        </is>
      </c>
      <c r="F27" s="7" t="inlineStr"/>
    </row>
    <row r="28">
      <c r="A28" s="8" t="inlineStr">
        <is>
          <t>Licences</t>
        </is>
      </c>
      <c r="B28" s="7" t="inlineStr">
        <is>
          <t>DINOv3 (image features, used on every run)</t>
        </is>
      </c>
      <c r="C28" s="7" t="inlineStr">
        <is>
          <t>Commercial use allowed; accept the licence (gated, approved by Meta); no product credit required (corrected after reading the licence)</t>
        </is>
      </c>
      <c r="D28" s="7" t="inlineStr"/>
      <c r="E28" s="11" t="inlineStr">
        <is>
          <t>OK with conditions</t>
        </is>
      </c>
      <c r="F28" s="7" t="inlineStr">
        <is>
          <t>L-12</t>
        </is>
      </c>
    </row>
    <row r="29">
      <c r="A29" s="8" t="inlineStr">
        <is>
          <t>Licences</t>
        </is>
      </c>
      <c r="B29" s="7" t="inlineStr">
        <is>
          <t>RMBG-2.0 (background removal, loaded every start)</t>
        </is>
      </c>
      <c r="C29" s="7" t="inlineStr">
        <is>
          <t>CC BY-NC 4.0: no commercial use without a BRIA agreement</t>
        </is>
      </c>
      <c r="D29" s="7" t="inlineStr"/>
      <c r="E29" s="14" t="inlineStr">
        <is>
          <t>Blocked</t>
        </is>
      </c>
      <c r="F29" s="7" t="inlineStr">
        <is>
          <t>L-12 (use ZhengPeng7/BiRefNet, MIT)</t>
        </is>
      </c>
    </row>
    <row r="30">
      <c r="A30" s="8" t="inlineStr">
        <is>
          <t>Licences</t>
        </is>
      </c>
      <c r="B30" s="7" t="inlineStr">
        <is>
          <t>nvdiffrast (texture bake inside to_glb)</t>
        </is>
      </c>
      <c r="C30" s="7" t="inlineStr">
        <is>
          <t>NVIDIA licence: research and evaluation only</t>
        </is>
      </c>
      <c r="D30" s="7" t="inlineStr"/>
      <c r="E30" s="14" t="inlineStr">
        <is>
          <t>Blocked until reviewed</t>
        </is>
      </c>
      <c r="F30" s="7" t="inlineStr">
        <is>
          <t>O-07 (Legal)</t>
        </is>
      </c>
    </row>
    <row r="31">
      <c r="A31" s="8" t="inlineStr">
        <is>
          <t>Licences</t>
        </is>
      </c>
      <c r="B31" s="7" t="inlineStr">
        <is>
          <t>nvdiffrec</t>
        </is>
      </c>
      <c r="C31" s="7" t="inlineStr">
        <is>
          <t>NVIDIA licence</t>
        </is>
      </c>
      <c r="D31" s="7" t="inlineStr">
        <is>
          <t>Only for preview videos</t>
        </is>
      </c>
      <c r="E31" s="13" t="inlineStr">
        <is>
          <t>Not needed</t>
        </is>
      </c>
      <c r="F31" s="7" t="inlineStr">
        <is>
          <t>L-13 (drop it)</t>
        </is>
      </c>
    </row>
  </sheetData>
  <autoFilter ref="A1:F3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34" customWidth="1" min="3" max="3"/>
    <col width="70" customWidth="1" min="4" max="4"/>
    <col width="46" customWidth="1" min="5" max="5"/>
    <col width="12" customWidth="1" min="6" max="6"/>
  </cols>
  <sheetData>
    <row r="1">
      <c r="A1" s="6" t="inlineStr">
        <is>
          <t>#</t>
        </is>
      </c>
      <c r="B1" s="6" t="inlineStr">
        <is>
          <t>Severity</t>
        </is>
      </c>
      <c r="C1" s="6" t="inlineStr">
        <is>
          <t>Finding</t>
        </is>
      </c>
      <c r="D1" s="6" t="inlineStr">
        <is>
          <t>Detail</t>
        </is>
      </c>
      <c r="E1" s="6" t="inlineStr">
        <is>
          <t>Fix</t>
        </is>
      </c>
      <c r="F1" s="6" t="inlineStr">
        <is>
          <t>Owner</t>
        </is>
      </c>
    </row>
    <row r="2">
      <c r="A2" s="7" t="n">
        <v>1</v>
      </c>
      <c r="B2" s="8" t="inlineStr">
        <is>
          <t>High</t>
        </is>
      </c>
      <c r="C2" s="7" t="inlineStr">
        <is>
          <t>Account data removal fails when machines exist</t>
        </is>
      </c>
      <c r="D2" s="7" t="inlineStr">
        <is>
          <t>admin.js deletes captures while capture_equipment and equipment_videos still reference them without cascade, so removal stops with a foreign-key error. The seed has no machines, so the test still passes.</t>
        </is>
      </c>
      <c r="E2" s="7" t="inlineStr">
        <is>
          <t>Delete machines and videos first; add a test with machines.</t>
        </is>
      </c>
      <c r="F2" s="7" t="inlineStr">
        <is>
          <t>Thomas</t>
        </is>
      </c>
    </row>
    <row r="3">
      <c r="A3" s="7" t="n">
        <v>2</v>
      </c>
      <c r="B3" s="8" t="inlineStr">
        <is>
          <t>High</t>
        </is>
      </c>
      <c r="C3" s="7" t="inlineStr">
        <is>
          <t>User model cannot support single login or several accounts</t>
        </is>
      </c>
      <c r="D3" s="7" t="inlineStr">
        <is>
          <t>users has one org_id, one role, a password hash and a globally unique email.</t>
        </is>
      </c>
      <c r="E3" s="7" t="inlineStr">
        <is>
          <t>users (keyed by Hub user id) + memberships + invites + sessions.</t>
        </is>
      </c>
      <c r="F3" s="7" t="inlineStr">
        <is>
          <t>Thomas</t>
        </is>
      </c>
    </row>
    <row r="4">
      <c r="A4" s="7" t="n">
        <v>3</v>
      </c>
      <c r="B4" s="8" t="inlineStr">
        <is>
          <t>Medium</t>
        </is>
      </c>
      <c r="C4" s="7" t="inlineStr">
        <is>
          <t>IDs are not UUIDs</t>
        </is>
      </c>
      <c r="D4" s="7" t="inlineStr">
        <is>
          <t>IDs are a prefix plus 20 random characters in VARCHAR(40), e.g. usr_… They are unguessable but not UUIDs and not time-ordered, so inserts land at random places in each index.</t>
        </is>
      </c>
      <c r="E4" s="7" t="inlineStr">
        <is>
          <t>UUIDv7 in CHAR(36) ASCII for every primary key.</t>
        </is>
      </c>
      <c r="F4" s="7" t="inlineStr">
        <is>
          <t>Thomas</t>
        </is>
      </c>
    </row>
    <row r="5">
      <c r="A5" s="7" t="n">
        <v>4</v>
      </c>
      <c r="B5" s="8" t="inlineStr">
        <is>
          <t>Medium</t>
        </is>
      </c>
      <c r="C5" s="7" t="inlineStr">
        <is>
          <t>Measurement copies can disagree with the plan</t>
        </is>
      </c>
      <c r="D5" s="7" t="inlineStr">
        <is>
          <t>plan_versions stores area, width, length, perimeter, elevation and element counts copied from plan_json; every code path that writes a plan must remember to refresh them.</t>
        </is>
      </c>
      <c r="E5" s="7" t="inlineStr">
        <is>
          <t>STORED generated columns computed from plan_json.</t>
        </is>
      </c>
      <c r="F5" s="7" t="inlineStr">
        <is>
          <t>Thomas</t>
        </is>
      </c>
    </row>
    <row r="6">
      <c r="A6" s="7" t="n">
        <v>5</v>
      </c>
      <c r="B6" s="8" t="inlineStr">
        <is>
          <t>Medium</t>
        </is>
      </c>
      <c r="C6" s="7" t="inlineStr">
        <is>
          <t>Capture facts stored twice</t>
        </is>
      </c>
      <c r="D6" s="7" t="inlineStr">
        <is>
          <t>captures.metadata (JSON) holds coverage, outline closed, override reason, area, tags and photo count; plan_versions stores coverage, override reason and area again.</t>
        </is>
      </c>
      <c r="E6" s="7" t="inlineStr">
        <is>
          <t>Typed columns on captures only; versions read them through capture_id.</t>
        </is>
      </c>
      <c r="F6" s="7" t="inlineStr">
        <is>
          <t>Thomas</t>
        </is>
      </c>
    </row>
    <row r="7">
      <c r="A7" s="7" t="n">
        <v>6</v>
      </c>
      <c r="B7" s="8" t="inlineStr">
        <is>
          <t>Medium</t>
        </is>
      </c>
      <c r="C7" s="7" t="inlineStr">
        <is>
          <t>Facility and level stored twice</t>
        </is>
      </c>
      <c r="D7" s="7" t="inlineStr">
        <is>
          <t>captures.facility_id and level repeat plans.facility_id and level, which the capture reaches through its version.</t>
        </is>
      </c>
      <c r="E7" s="7" t="inlineStr">
        <is>
          <t>Drop them from captures.</t>
        </is>
      </c>
      <c r="F7" s="7" t="inlineStr">
        <is>
          <t>Thomas</t>
        </is>
      </c>
    </row>
    <row r="8">
      <c r="A8" s="7" t="n">
        <v>7</v>
      </c>
      <c r="B8" s="8" t="inlineStr">
        <is>
          <t>Medium</t>
        </is>
      </c>
      <c r="C8" s="7" t="inlineStr">
        <is>
          <t>A stored URL goes stale</t>
        </is>
      </c>
      <c r="D8" s="7" t="inlineStr">
        <is>
          <t>plan_versions.walkthrough_url stores a full link built from today's web domain; moving the web app to the GoalCert subdomain leaves every old row wrong.</t>
        </is>
      </c>
      <c r="E8" s="7" t="inlineStr">
        <is>
          <t>Drop the column; build links from configuration.</t>
        </is>
      </c>
      <c r="F8" s="7" t="inlineStr">
        <is>
          <t>Thomas</t>
        </is>
      </c>
    </row>
    <row r="9">
      <c r="A9" s="7" t="n">
        <v>8</v>
      </c>
      <c r="B9" s="8" t="inlineStr">
        <is>
          <t>Low</t>
        </is>
      </c>
      <c r="C9" s="7" t="inlineStr">
        <is>
          <t>Values stored twice inside one table</t>
        </is>
      </c>
      <c r="D9" s="7" t="inlineStr">
        <is>
          <t>users.role_label repeats what users.role says; plan_versions.review_seconds is a copy of review_active_seconds taken at the decision.</t>
        </is>
      </c>
      <c r="E9" s="7" t="inlineStr">
        <is>
          <t>Drop both; derive in code.</t>
        </is>
      </c>
      <c r="F9" s="7" t="inlineStr">
        <is>
          <t>Thomas</t>
        </is>
      </c>
    </row>
    <row r="10">
      <c r="A10" s="7" t="n">
        <v>9</v>
      </c>
      <c r="B10" s="8" t="inlineStr">
        <is>
          <t>Low</t>
        </is>
      </c>
      <c r="C10" s="7" t="inlineStr">
        <is>
          <t>Dead column</t>
        </is>
      </c>
      <c r="D10" s="7" t="inlineStr">
        <is>
          <t>share_links.plan_version_id has been unused since links moved to plan_id.</t>
        </is>
      </c>
      <c r="E10" s="7" t="inlineStr">
        <is>
          <t>Drop it.</t>
        </is>
      </c>
      <c r="F10" s="7" t="inlineStr">
        <is>
          <t>Thomas</t>
        </is>
      </c>
    </row>
    <row r="11">
      <c r="A11" s="7" t="n">
        <v>10</v>
      </c>
      <c r="B11" s="8" t="inlineStr">
        <is>
          <t>Medium</t>
        </is>
      </c>
      <c r="C11" s="7" t="inlineStr">
        <is>
          <t>Videos and files point at each other</t>
        </is>
      </c>
      <c r="D11" s="7" t="inlineStr">
        <is>
          <t>equipment_videos stores its file ids, and capture_files stores the machine id back (without a foreign key).</t>
        </is>
      </c>
      <c r="E11" s="7" t="inlineStr">
        <is>
          <t>Keep one direction: machine_videos → capture_files.</t>
        </is>
      </c>
      <c r="F11" s="7" t="inlineStr">
        <is>
          <t>Thomas</t>
        </is>
      </c>
    </row>
    <row r="12">
      <c r="A12" s="7" t="n">
        <v>11</v>
      </c>
      <c r="B12" s="8" t="inlineStr">
        <is>
          <t>Medium</t>
        </is>
      </c>
      <c r="C12" s="7" t="inlineStr">
        <is>
          <t>Machine type is free text on every row</t>
        </is>
      </c>
      <c r="D12" s="7" t="inlineStr">
        <is>
          <t>'treadmill', 'Treadmill' and 'tread mill' are stored as different values, in capture_equipment and in the plan.</t>
        </is>
      </c>
      <c r="E12" s="7" t="inlineStr">
        <is>
          <t>equipment_types table (global list + custom per account), referenced by id.</t>
        </is>
      </c>
      <c r="F12" s="7" t="inlineStr">
        <is>
          <t>Thomas</t>
        </is>
      </c>
    </row>
    <row r="13">
      <c r="A13" s="7" t="n">
        <v>12</v>
      </c>
      <c r="B13" s="8" t="inlineStr">
        <is>
          <t>Medium</t>
        </is>
      </c>
      <c r="C13" s="7" t="inlineStr">
        <is>
          <t>Two columns with one name and two meanings</t>
        </is>
      </c>
      <c r="D13" s="7" t="inlineStr">
        <is>
          <t>capture_equipment.equipment_id is the 'EQ-001' reference, while equipment_videos.equipment_id is capture_equipment.id.</t>
        </is>
      </c>
      <c r="E13" s="7" t="inlineStr">
        <is>
          <t>Rename the reference to ref; every column ending in _id is a foreign key.</t>
        </is>
      </c>
      <c r="F13" s="7" t="inlineStr">
        <is>
          <t>Thomas</t>
        </is>
      </c>
    </row>
    <row r="14">
      <c r="A14" s="7" t="n">
        <v>13</v>
      </c>
      <c r="B14" s="8" t="inlineStr">
        <is>
          <t>Low</t>
        </is>
      </c>
      <c r="C14" s="7" t="inlineStr">
        <is>
          <t>Machine name and type kept in two places</t>
        </is>
      </c>
      <c r="D14" s="7" t="inlineStr">
        <is>
          <t>The phone writes capture_equipment; reviewer edits change only plan_json.</t>
        </is>
      </c>
      <c r="E14" s="7" t="inlineStr">
        <is>
          <t>Rule: capture rows are the surveyor's original record; the approved plan is the truth; models attach to the machine row.</t>
        </is>
      </c>
      <c r="F14" s="7" t="inlineStr">
        <is>
          <t>Thomas</t>
        </is>
      </c>
    </row>
    <row r="15">
      <c r="A15" s="7" t="n">
        <v>14</v>
      </c>
      <c r="B15" s="8" t="inlineStr">
        <is>
          <t>Medium</t>
        </is>
      </c>
      <c r="C15" s="7" t="inlineStr">
        <is>
          <t>Missing foreign keys</t>
        </is>
      </c>
      <c r="D15" s="7" t="inlineStr">
        <is>
          <t>capture_files.equipment_id, plan_versions.plan_saved_by, plan_versions.based_on_version_id, share_links.plan_id and share_links.org_id have none.</t>
        </is>
      </c>
      <c r="E15" s="7" t="inlineStr">
        <is>
          <t>Add them.</t>
        </is>
      </c>
      <c r="F15" s="7" t="inlineStr">
        <is>
          <t>Thomas</t>
        </is>
      </c>
    </row>
    <row r="16">
      <c r="A16" s="7" t="n">
        <v>15</v>
      </c>
      <c r="B16" s="8" t="inlineStr">
        <is>
          <t>Medium</t>
        </is>
      </c>
      <c r="C16" s="7" t="inlineStr">
        <is>
          <t>The account key on child rows can drift</t>
        </is>
      </c>
      <c r="D16" s="7" t="inlineStr">
        <is>
          <t>org_id is copied onto versions, machines and videos with nothing forcing it to equal the parent's.</t>
        </is>
      </c>
      <c r="E16" s="7" t="inlineStr">
        <is>
          <t>Composite foreign keys (account_id, parent_id) → parent (account_id, id).</t>
        </is>
      </c>
      <c r="F16" s="7" t="inlineStr">
        <is>
          <t>Thomas</t>
        </is>
      </c>
    </row>
    <row r="17">
      <c r="A17" s="7" t="n">
        <v>16</v>
      </c>
      <c r="B17" s="8" t="inlineStr">
        <is>
          <t>Medium</t>
        </is>
      </c>
      <c r="C17" s="7" t="inlineStr">
        <is>
          <t>Some duplicates are prevented only in code</t>
        </is>
      </c>
      <c r="D17" s="7" t="inlineStr">
        <is>
          <t>Nothing in the database stops two approved versions of one plan or two active share links for one plan.</t>
        </is>
      </c>
      <c r="E17" s="7" t="inlineStr">
        <is>
          <t>Unique index on a generated column, e.g. plan_id only while the version is ready.</t>
        </is>
      </c>
      <c r="F17" s="7" t="inlineStr">
        <is>
          <t>Thomas</t>
        </is>
      </c>
    </row>
    <row r="18">
      <c r="A18" s="7" t="n">
        <v>17</v>
      </c>
      <c r="B18" s="8" t="inlineStr">
        <is>
          <t>Low</t>
        </is>
      </c>
      <c r="C18" s="7" t="inlineStr">
        <is>
          <t>Missing indexes</t>
        </is>
      </c>
      <c r="D18" s="7" t="inlineStr">
        <is>
          <t>No index for the reviewer queue (status), weekly reviewer time (reviewed_by, reviewed_at) or share links by plan. The queue query also reads every waiting plan's full JSON to count open flags.</t>
        </is>
      </c>
      <c r="E18" s="7" t="inlineStr">
        <is>
          <t>Add the indexes; open_flag_count as a generated column.</t>
        </is>
      </c>
      <c r="F18" s="7" t="inlineStr">
        <is>
          <t>Thomas</t>
        </is>
      </c>
    </row>
    <row r="19">
      <c r="A19" s="7" t="n">
        <v>18</v>
      </c>
      <c r="B19" s="8" t="inlineStr">
        <is>
          <t>Low</t>
        </is>
      </c>
      <c r="C19" s="7" t="inlineStr">
        <is>
          <t>No CHECK constraints</t>
        </is>
      </c>
      <c r="D19" s="7" t="inlineStr">
        <is>
          <t>Ranges such as level −5 to 200, coverage 0 to 1 and positive sizes exist only in the API's validation.</t>
        </is>
      </c>
      <c r="E19" s="7" t="inlineStr">
        <is>
          <t>Add CHECK constraints.</t>
        </is>
      </c>
      <c r="F19" s="7" t="inlineStr">
        <is>
          <t>Thomas</t>
        </is>
      </c>
    </row>
    <row r="20">
      <c r="A20" s="7" t="n">
        <v>19</v>
      </c>
      <c r="B20" s="8" t="inlineStr">
        <is>
          <t>Medium</t>
        </is>
      </c>
      <c r="C20" s="7" t="inlineStr">
        <is>
          <t>Mixed time zones</t>
        </is>
      </c>
      <c r="D20" s="7" t="inlineStr">
        <is>
          <t>Column defaults and NOW() use the database session's zone; updates use UTC_TIMESTAMP(). The pool converts JavaScript dates as UTC but never sets the session zone, so this is safe only while the server itself runs in UTC.</t>
        </is>
      </c>
      <c r="E20" s="7" t="inlineStr">
        <is>
          <t>Set time_zone '+00:00' on every connection; use one function.</t>
        </is>
      </c>
      <c r="F20" s="7" t="inlineStr">
        <is>
          <t>Thomas</t>
        </is>
      </c>
    </row>
    <row r="21">
      <c r="A21" s="7" t="n">
        <v>20</v>
      </c>
      <c r="B21" s="8" t="inlineStr">
        <is>
          <t>Low</t>
        </is>
      </c>
      <c r="C21" s="7" t="inlineStr">
        <is>
          <t>Character set declared on 4 of 14 tables</t>
        </is>
      </c>
      <c r="D21" s="7" t="inlineStr">
        <is>
          <t>The rest inherit the server default.</t>
        </is>
      </c>
      <c r="E21" s="7" t="inlineStr">
        <is>
          <t>Declare it on every table; ASCII binary for IDs.</t>
        </is>
      </c>
      <c r="F21" s="7" t="inlineStr">
        <is>
          <t>Thomas</t>
        </is>
      </c>
    </row>
    <row r="22">
      <c r="A22" s="7" t="n">
        <v>21</v>
      </c>
      <c r="B22" s="8" t="inlineStr">
        <is>
          <t>Low</t>
        </is>
      </c>
      <c r="C22" s="7" t="inlineStr">
        <is>
          <t>Fixed codes stored as free text</t>
        </is>
      </c>
      <c r="D22" s="7" t="inlineStr">
        <is>
          <t>input_type VARCHAR(20), rejection_reason VARCHAR(200) and region VARCHAR(100) hold values from fixed lists.</t>
        </is>
      </c>
      <c r="E22" s="7" t="inlineStr">
        <is>
          <t>ENUM or a lookup table.</t>
        </is>
      </c>
      <c r="F22" s="7" t="inlineStr">
        <is>
          <t>Thomas</t>
        </is>
      </c>
    </row>
    <row r="23">
      <c r="A23" s="7" t="n">
        <v>22</v>
      </c>
      <c r="B23" s="8" t="inlineStr">
        <is>
          <t>Medium</t>
        </is>
      </c>
      <c r="C23" s="7" t="inlineStr">
        <is>
          <t>MySQL 8.0</t>
        </is>
      </c>
      <c r="D23" s="7" t="inlineStr">
        <is>
          <t>Docker Compose uses MySQL 8.0, which is out of support.</t>
        </is>
      </c>
      <c r="E23" s="7" t="inlineStr">
        <is>
          <t>MySQL 8.4 LTS.</t>
        </is>
      </c>
      <c r="F23" s="7" t="inlineStr">
        <is>
          <t>Thomas</t>
        </is>
      </c>
    </row>
    <row r="24">
      <c r="A24" s="7" t="n">
        <v>23</v>
      </c>
      <c r="B24" s="8" t="inlineStr">
        <is>
          <t>Low</t>
        </is>
      </c>
      <c r="C24" s="7" t="inlineStr">
        <is>
          <t>A failed migration can leave half a change</t>
        </is>
      </c>
      <c r="D24" s="7" t="inlineStr">
        <is>
          <t>MySQL commits each DDL statement on its own.</t>
        </is>
      </c>
      <c r="E24" s="7" t="inlineStr">
        <is>
          <t>Start again from one clean baseline; later, one change per file.</t>
        </is>
      </c>
      <c r="F24" s="7" t="inlineStr">
        <is>
          <t>Thomas</t>
        </is>
      </c>
    </row>
    <row r="25">
      <c r="A25" s="7" t="n">
        <v>24</v>
      </c>
      <c r="B25" s="8" t="inlineStr">
        <is>
          <t>Good</t>
        </is>
      </c>
      <c r="C25" s="7" t="inlineStr">
        <is>
          <t>What is already right</t>
        </is>
      </c>
      <c r="D25" s="7" t="inlineStr">
        <is>
          <t>Unique keys on email, facility name per account, level per facility, version per plan, idempotency key per user, file name per capture, machine reference per capture and one video per machine; tokens stored only as SHA-256; the audit log keeps no foreign keys on purpose so it outlives deleted data.</t>
        </is>
      </c>
      <c r="E25" s="7" t="inlineStr">
        <is>
          <t>Keep.</t>
        </is>
      </c>
      <c r="F25" s="7" t="inlineStr">
        <is>
          <t>—</t>
        </is>
      </c>
    </row>
  </sheetData>
  <autoFilter ref="A1:F2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86"/>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40" customWidth="1" min="3" max="3"/>
    <col width="34" customWidth="1" min="4" max="4"/>
    <col width="40" customWidth="1" min="5" max="5"/>
    <col width="34" customWidth="1" min="6" max="6"/>
    <col width="34" customWidth="1" min="7" max="7"/>
  </cols>
  <sheetData>
    <row r="1">
      <c r="A1" s="6" t="inlineStr">
        <is>
          <t>Table</t>
        </is>
      </c>
      <c r="B1" s="6" t="inlineStr">
        <is>
          <t>Owner</t>
        </is>
      </c>
      <c r="C1" s="6" t="inlineStr">
        <is>
          <t>Table purpose</t>
        </is>
      </c>
      <c r="D1" s="6" t="inlineStr">
        <is>
          <t>Column</t>
        </is>
      </c>
      <c r="E1" s="6" t="inlineStr">
        <is>
          <t>Type</t>
        </is>
      </c>
      <c r="F1" s="6" t="inlineStr">
        <is>
          <t>Key / rule</t>
        </is>
      </c>
      <c r="G1" s="6" t="inlineStr">
        <is>
          <t>Notes</t>
        </is>
      </c>
    </row>
    <row r="2">
      <c r="A2" s="8" t="inlineStr">
        <is>
          <t>accounts</t>
        </is>
      </c>
      <c r="B2" s="7" t="inlineStr">
        <is>
          <t>Thomas</t>
        </is>
      </c>
      <c r="C2" s="7" t="inlineStr">
        <is>
          <t>A gym customer. Replaces organisations.</t>
        </is>
      </c>
      <c r="D2" s="7" t="inlineStr">
        <is>
          <t>id</t>
        </is>
      </c>
      <c r="E2" s="7" t="inlineStr">
        <is>
          <t>CHAR(36) ascii</t>
        </is>
      </c>
      <c r="F2" s="7" t="inlineStr">
        <is>
          <t>PK</t>
        </is>
      </c>
      <c r="G2" s="7" t="inlineStr">
        <is>
          <t>UUIDv7</t>
        </is>
      </c>
    </row>
    <row r="3">
      <c r="A3" s="8" t="inlineStr">
        <is>
          <t>accounts</t>
        </is>
      </c>
      <c r="B3" s="7" t="inlineStr">
        <is>
          <t>Thomas</t>
        </is>
      </c>
      <c r="C3" s="7" t="inlineStr">
        <is>
          <t>A gym customer. Replaces organisations.</t>
        </is>
      </c>
      <c r="D3" s="7" t="inlineStr">
        <is>
          <t>name</t>
        </is>
      </c>
      <c r="E3" s="7" t="inlineStr">
        <is>
          <t>VARCHAR(200)</t>
        </is>
      </c>
      <c r="F3" s="7" t="inlineStr">
        <is>
          <t>UNIQUE</t>
        </is>
      </c>
      <c r="G3" s="7" t="inlineStr"/>
    </row>
    <row r="4">
      <c r="A4" s="8" t="inlineStr">
        <is>
          <t>accounts</t>
        </is>
      </c>
      <c r="B4" s="7" t="inlineStr">
        <is>
          <t>Thomas</t>
        </is>
      </c>
      <c r="C4" s="7" t="inlineStr">
        <is>
          <t>A gym customer. Replaces organisations.</t>
        </is>
      </c>
      <c r="D4" s="7" t="inlineStr">
        <is>
          <t>plan_quota</t>
        </is>
      </c>
      <c r="E4" s="7" t="inlineStr">
        <is>
          <t>INT UNSIGNED</t>
        </is>
      </c>
      <c r="F4" s="7" t="inlineStr"/>
      <c r="G4" s="7" t="inlineStr">
        <is>
          <t>New plans per calendar month</t>
        </is>
      </c>
    </row>
    <row r="5">
      <c r="A5" s="8" t="inlineStr">
        <is>
          <t>accounts</t>
        </is>
      </c>
      <c r="B5" s="7" t="inlineStr">
        <is>
          <t>Thomas</t>
        </is>
      </c>
      <c r="C5" s="7" t="inlineStr">
        <is>
          <t>A gym customer. Replaces organisations.</t>
        </is>
      </c>
      <c r="D5" s="7" t="inlineStr">
        <is>
          <t>status</t>
        </is>
      </c>
      <c r="E5" s="7" t="inlineStr">
        <is>
          <t>ENUM('active','removed')</t>
        </is>
      </c>
      <c r="F5" s="7" t="inlineStr"/>
      <c r="G5" s="7" t="inlineStr"/>
    </row>
    <row r="6">
      <c r="A6" s="8" t="inlineStr">
        <is>
          <t>accounts</t>
        </is>
      </c>
      <c r="B6" s="7" t="inlineStr">
        <is>
          <t>Thomas</t>
        </is>
      </c>
      <c r="C6" s="7" t="inlineStr">
        <is>
          <t>A gym customer. Replaces organisations.</t>
        </is>
      </c>
      <c r="D6" s="7" t="inlineStr">
        <is>
          <t>removed_at</t>
        </is>
      </c>
      <c r="E6" s="7" t="inlineStr">
        <is>
          <t>DATETIME(3) NULL</t>
        </is>
      </c>
      <c r="F6" s="7" t="inlineStr"/>
      <c r="G6" s="7" t="inlineStr">
        <is>
          <t>Set by account removal (ACC-07)</t>
        </is>
      </c>
    </row>
    <row r="7">
      <c r="A7" s="8" t="inlineStr">
        <is>
          <t>accounts</t>
        </is>
      </c>
      <c r="B7" s="7" t="inlineStr">
        <is>
          <t>Thomas</t>
        </is>
      </c>
      <c r="C7" s="7" t="inlineStr">
        <is>
          <t>A gym customer. Replaces organisations.</t>
        </is>
      </c>
      <c r="D7" s="7" t="inlineStr">
        <is>
          <t>created_at, updated_at</t>
        </is>
      </c>
      <c r="E7" s="7" t="inlineStr">
        <is>
          <t>DATETIME(3)</t>
        </is>
      </c>
      <c r="F7" s="7" t="inlineStr"/>
      <c r="G7" s="7" t="inlineStr">
        <is>
          <t>UTC</t>
        </is>
      </c>
    </row>
    <row r="8">
      <c r="A8" s="8" t="inlineStr">
        <is>
          <t>users</t>
        </is>
      </c>
      <c r="B8" s="7" t="inlineStr">
        <is>
          <t>Thomas</t>
        </is>
      </c>
      <c r="C8" s="7" t="inlineStr">
        <is>
          <t>One row per person; the Hub holds the password.</t>
        </is>
      </c>
      <c r="D8" s="7" t="inlineStr">
        <is>
          <t>id</t>
        </is>
      </c>
      <c r="E8" s="7" t="inlineStr">
        <is>
          <t>CHAR(36) ascii</t>
        </is>
      </c>
      <c r="F8" s="7" t="inlineStr">
        <is>
          <t>PK</t>
        </is>
      </c>
      <c r="G8" s="7" t="inlineStr">
        <is>
          <t>UUIDv7</t>
        </is>
      </c>
    </row>
    <row r="9">
      <c r="A9" s="8" t="inlineStr">
        <is>
          <t>users</t>
        </is>
      </c>
      <c r="B9" s="7" t="inlineStr">
        <is>
          <t>Thomas</t>
        </is>
      </c>
      <c r="C9" s="7" t="inlineStr">
        <is>
          <t>One row per person; the Hub holds the password.</t>
        </is>
      </c>
      <c r="D9" s="7" t="inlineStr">
        <is>
          <t>hub_user_id</t>
        </is>
      </c>
      <c r="E9" s="7" t="inlineStr">
        <is>
          <t>VARCHAR(64)</t>
        </is>
      </c>
      <c r="F9" s="7" t="inlineStr">
        <is>
          <t>UNIQUE</t>
        </is>
      </c>
      <c r="G9" s="7" t="inlineStr">
        <is>
          <t>The Hub's id (sub)</t>
        </is>
      </c>
    </row>
    <row r="10">
      <c r="A10" s="8" t="inlineStr">
        <is>
          <t>users</t>
        </is>
      </c>
      <c r="B10" s="7" t="inlineStr">
        <is>
          <t>Thomas</t>
        </is>
      </c>
      <c r="C10" s="7" t="inlineStr">
        <is>
          <t>One row per person; the Hub holds the password.</t>
        </is>
      </c>
      <c r="D10" s="7" t="inlineStr">
        <is>
          <t>email</t>
        </is>
      </c>
      <c r="E10" s="7" t="inlineStr">
        <is>
          <t>VARCHAR(254)</t>
        </is>
      </c>
      <c r="F10" s="7" t="inlineStr"/>
      <c r="G10" s="7" t="inlineStr">
        <is>
          <t>Kept in step with the Hub by events; used for notifications</t>
        </is>
      </c>
    </row>
    <row r="11">
      <c r="A11" s="8" t="inlineStr">
        <is>
          <t>users</t>
        </is>
      </c>
      <c r="B11" s="7" t="inlineStr">
        <is>
          <t>Thomas</t>
        </is>
      </c>
      <c r="C11" s="7" t="inlineStr">
        <is>
          <t>One row per person; the Hub holds the password.</t>
        </is>
      </c>
      <c r="D11" s="7" t="inlineStr">
        <is>
          <t>name</t>
        </is>
      </c>
      <c r="E11" s="7" t="inlineStr">
        <is>
          <t>VARCHAR(200)</t>
        </is>
      </c>
      <c r="F11" s="7" t="inlineStr"/>
      <c r="G11" s="7" t="inlineStr"/>
    </row>
    <row r="12">
      <c r="A12" s="8" t="inlineStr">
        <is>
          <t>users</t>
        </is>
      </c>
      <c r="B12" s="7" t="inlineStr">
        <is>
          <t>Thomas</t>
        </is>
      </c>
      <c r="C12" s="7" t="inlineStr">
        <is>
          <t>One row per person; the Hub holds the password.</t>
        </is>
      </c>
      <c r="D12" s="7" t="inlineStr">
        <is>
          <t>staff_role</t>
        </is>
      </c>
      <c r="E12" s="7" t="inlineStr">
        <is>
          <t>ENUM('reviewer','admin') NULL</t>
        </is>
      </c>
      <c r="F12" s="7" t="inlineStr"/>
      <c r="G12" s="7" t="inlineStr">
        <is>
          <t>Flex staff only; sees every account</t>
        </is>
      </c>
    </row>
    <row r="13">
      <c r="A13" s="8" t="inlineStr">
        <is>
          <t>users</t>
        </is>
      </c>
      <c r="B13" s="7" t="inlineStr">
        <is>
          <t>Thomas</t>
        </is>
      </c>
      <c r="C13" s="7" t="inlineStr">
        <is>
          <t>One row per person; the Hub holds the password.</t>
        </is>
      </c>
      <c r="D13" s="7" t="inlineStr">
        <is>
          <t>status</t>
        </is>
      </c>
      <c r="E13" s="7" t="inlineStr">
        <is>
          <t>ENUM('active','disabled')</t>
        </is>
      </c>
      <c r="F13" s="7" t="inlineStr"/>
      <c r="G13" s="7" t="inlineStr"/>
    </row>
    <row r="14">
      <c r="A14" s="8" t="inlineStr">
        <is>
          <t>users</t>
        </is>
      </c>
      <c r="B14" s="7" t="inlineStr">
        <is>
          <t>Thomas</t>
        </is>
      </c>
      <c r="C14" s="7" t="inlineStr">
        <is>
          <t>One row per person; the Hub holds the password.</t>
        </is>
      </c>
      <c r="D14" s="7" t="inlineStr">
        <is>
          <t>last_sign_in_at</t>
        </is>
      </c>
      <c r="E14" s="7" t="inlineStr">
        <is>
          <t>DATETIME(3) NULL</t>
        </is>
      </c>
      <c r="F14" s="7" t="inlineStr"/>
      <c r="G14" s="7" t="inlineStr"/>
    </row>
    <row r="15">
      <c r="A15" s="8" t="inlineStr">
        <is>
          <t>users</t>
        </is>
      </c>
      <c r="B15" s="7" t="inlineStr">
        <is>
          <t>Thomas</t>
        </is>
      </c>
      <c r="C15" s="7" t="inlineStr">
        <is>
          <t>One row per person; the Hub holds the password.</t>
        </is>
      </c>
      <c r="D15" s="7" t="inlineStr">
        <is>
          <t>created_at, updated_at</t>
        </is>
      </c>
      <c r="E15" s="7" t="inlineStr">
        <is>
          <t>DATETIME(3)</t>
        </is>
      </c>
      <c r="F15" s="7" t="inlineStr"/>
      <c r="G15" s="7" t="inlineStr"/>
    </row>
    <row r="16">
      <c r="A16" s="8" t="inlineStr">
        <is>
          <t>memberships</t>
        </is>
      </c>
      <c r="B16" s="7" t="inlineStr">
        <is>
          <t>Thomas</t>
        </is>
      </c>
      <c r="C16" s="7" t="inlineStr">
        <is>
          <t>Which gym accounts a user belongs to, and the role in each.</t>
        </is>
      </c>
      <c r="D16" s="7" t="inlineStr">
        <is>
          <t>account_id</t>
        </is>
      </c>
      <c r="E16" s="7" t="inlineStr">
        <is>
          <t>CHAR(36)</t>
        </is>
      </c>
      <c r="F16" s="7" t="inlineStr">
        <is>
          <t>PK, FK accounts</t>
        </is>
      </c>
      <c r="G16" s="7" t="inlineStr"/>
    </row>
    <row r="17">
      <c r="A17" s="8" t="inlineStr">
        <is>
          <t>memberships</t>
        </is>
      </c>
      <c r="B17" s="7" t="inlineStr">
        <is>
          <t>Thomas</t>
        </is>
      </c>
      <c r="C17" s="7" t="inlineStr">
        <is>
          <t>Which gym accounts a user belongs to, and the role in each.</t>
        </is>
      </c>
      <c r="D17" s="7" t="inlineStr">
        <is>
          <t>user_id</t>
        </is>
      </c>
      <c r="E17" s="7" t="inlineStr">
        <is>
          <t>CHAR(36)</t>
        </is>
      </c>
      <c r="F17" s="7" t="inlineStr">
        <is>
          <t>PK, FK users</t>
        </is>
      </c>
      <c r="G17" s="7" t="inlineStr"/>
    </row>
    <row r="18">
      <c r="A18" s="8" t="inlineStr">
        <is>
          <t>memberships</t>
        </is>
      </c>
      <c r="B18" s="7" t="inlineStr">
        <is>
          <t>Thomas</t>
        </is>
      </c>
      <c r="C18" s="7" t="inlineStr">
        <is>
          <t>Which gym accounts a user belongs to, and the role in each.</t>
        </is>
      </c>
      <c r="D18" s="7" t="inlineStr">
        <is>
          <t>role</t>
        </is>
      </c>
      <c r="E18" s="7" t="inlineStr">
        <is>
          <t>ENUM('owner','surveyor')</t>
        </is>
      </c>
      <c r="F18" s="7" t="inlineStr"/>
      <c r="G18" s="7" t="inlineStr"/>
    </row>
    <row r="19">
      <c r="A19" s="8" t="inlineStr">
        <is>
          <t>memberships</t>
        </is>
      </c>
      <c r="B19" s="7" t="inlineStr">
        <is>
          <t>Thomas</t>
        </is>
      </c>
      <c r="C19" s="7" t="inlineStr">
        <is>
          <t>Which gym accounts a user belongs to, and the role in each.</t>
        </is>
      </c>
      <c r="D19" s="7" t="inlineStr">
        <is>
          <t>created_by</t>
        </is>
      </c>
      <c r="E19" s="7" t="inlineStr">
        <is>
          <t>CHAR(36) NULL</t>
        </is>
      </c>
      <c r="F19" s="7" t="inlineStr">
        <is>
          <t>FK users</t>
        </is>
      </c>
      <c r="G19" s="7" t="inlineStr"/>
    </row>
    <row r="20">
      <c r="A20" s="8" t="inlineStr">
        <is>
          <t>memberships</t>
        </is>
      </c>
      <c r="B20" s="7" t="inlineStr">
        <is>
          <t>Thomas</t>
        </is>
      </c>
      <c r="C20" s="7" t="inlineStr">
        <is>
          <t>Which gym accounts a user belongs to, and the role in each.</t>
        </is>
      </c>
      <c r="D20" s="7" t="inlineStr">
        <is>
          <t>created_at</t>
        </is>
      </c>
      <c r="E20" s="7" t="inlineStr">
        <is>
          <t>DATETIME(3)</t>
        </is>
      </c>
      <c r="F20" s="7" t="inlineStr"/>
      <c r="G20" s="7" t="inlineStr"/>
    </row>
    <row r="21">
      <c r="A21" s="8" t="inlineStr">
        <is>
          <t>invites</t>
        </is>
      </c>
      <c r="B21" s="7" t="inlineStr">
        <is>
          <t>Thomas</t>
        </is>
      </c>
      <c r="C21" s="7" t="inlineStr">
        <is>
          <t>Pending access, matched on first Hub sign-in.</t>
        </is>
      </c>
      <c r="D21" s="7" t="inlineStr">
        <is>
          <t>id</t>
        </is>
      </c>
      <c r="E21" s="7" t="inlineStr">
        <is>
          <t>CHAR(36)</t>
        </is>
      </c>
      <c r="F21" s="7" t="inlineStr">
        <is>
          <t>PK</t>
        </is>
      </c>
      <c r="G21" s="7" t="inlineStr"/>
    </row>
    <row r="22">
      <c r="A22" s="8" t="inlineStr">
        <is>
          <t>invites</t>
        </is>
      </c>
      <c r="B22" s="7" t="inlineStr">
        <is>
          <t>Thomas</t>
        </is>
      </c>
      <c r="C22" s="7" t="inlineStr">
        <is>
          <t>Pending access, matched on first Hub sign-in.</t>
        </is>
      </c>
      <c r="D22" s="7" t="inlineStr">
        <is>
          <t>account_id</t>
        </is>
      </c>
      <c r="E22" s="7" t="inlineStr">
        <is>
          <t>CHAR(36)</t>
        </is>
      </c>
      <c r="F22" s="7" t="inlineStr">
        <is>
          <t>FK accounts</t>
        </is>
      </c>
      <c r="G22" s="7" t="inlineStr"/>
    </row>
    <row r="23">
      <c r="A23" s="8" t="inlineStr">
        <is>
          <t>invites</t>
        </is>
      </c>
      <c r="B23" s="7" t="inlineStr">
        <is>
          <t>Thomas</t>
        </is>
      </c>
      <c r="C23" s="7" t="inlineStr">
        <is>
          <t>Pending access, matched on first Hub sign-in.</t>
        </is>
      </c>
      <c r="D23" s="7" t="inlineStr">
        <is>
          <t>email</t>
        </is>
      </c>
      <c r="E23" s="7" t="inlineStr">
        <is>
          <t>VARCHAR(254)</t>
        </is>
      </c>
      <c r="F23" s="7" t="inlineStr"/>
      <c r="G23" s="7" t="inlineStr"/>
    </row>
    <row r="24">
      <c r="A24" s="8" t="inlineStr">
        <is>
          <t>invites</t>
        </is>
      </c>
      <c r="B24" s="7" t="inlineStr">
        <is>
          <t>Thomas</t>
        </is>
      </c>
      <c r="C24" s="7" t="inlineStr">
        <is>
          <t>Pending access, matched on first Hub sign-in.</t>
        </is>
      </c>
      <c r="D24" s="7" t="inlineStr">
        <is>
          <t>role</t>
        </is>
      </c>
      <c r="E24" s="7" t="inlineStr">
        <is>
          <t>ENUM('owner','surveyor')</t>
        </is>
      </c>
      <c r="F24" s="7" t="inlineStr"/>
      <c r="G24" s="7" t="inlineStr"/>
    </row>
    <row r="25">
      <c r="A25" s="8" t="inlineStr">
        <is>
          <t>invites</t>
        </is>
      </c>
      <c r="B25" s="7" t="inlineStr">
        <is>
          <t>Thomas</t>
        </is>
      </c>
      <c r="C25" s="7" t="inlineStr">
        <is>
          <t>Pending access, matched on first Hub sign-in.</t>
        </is>
      </c>
      <c r="D25" s="7" t="inlineStr">
        <is>
          <t>invited_by</t>
        </is>
      </c>
      <c r="E25" s="7" t="inlineStr">
        <is>
          <t>CHAR(36)</t>
        </is>
      </c>
      <c r="F25" s="7" t="inlineStr">
        <is>
          <t>FK users</t>
        </is>
      </c>
      <c r="G25" s="7" t="inlineStr"/>
    </row>
    <row r="26">
      <c r="A26" s="8" t="inlineStr">
        <is>
          <t>invites</t>
        </is>
      </c>
      <c r="B26" s="7" t="inlineStr">
        <is>
          <t>Thomas</t>
        </is>
      </c>
      <c r="C26" s="7" t="inlineStr">
        <is>
          <t>Pending access, matched on first Hub sign-in.</t>
        </is>
      </c>
      <c r="D26" s="7" t="inlineStr">
        <is>
          <t>expires_at, accepted_at</t>
        </is>
      </c>
      <c r="E26" s="7" t="inlineStr">
        <is>
          <t>DATETIME(3)</t>
        </is>
      </c>
      <c r="F26" s="7" t="inlineStr"/>
      <c r="G26" s="7" t="inlineStr">
        <is>
          <t>accepted_at NULL while open</t>
        </is>
      </c>
    </row>
    <row r="27">
      <c r="A27" s="8" t="inlineStr">
        <is>
          <t>invites</t>
        </is>
      </c>
      <c r="B27" s="7" t="inlineStr">
        <is>
          <t>Thomas</t>
        </is>
      </c>
      <c r="C27" s="7" t="inlineStr">
        <is>
          <t>Pending access, matched on first Hub sign-in.</t>
        </is>
      </c>
      <c r="D27" s="7" t="inlineStr">
        <is>
          <t>accepted_user_id</t>
        </is>
      </c>
      <c r="E27" s="7" t="inlineStr">
        <is>
          <t>CHAR(36) NULL</t>
        </is>
      </c>
      <c r="F27" s="7" t="inlineStr">
        <is>
          <t>FK users</t>
        </is>
      </c>
      <c r="G27" s="7" t="inlineStr"/>
    </row>
    <row r="28">
      <c r="A28" s="8" t="inlineStr">
        <is>
          <t>invites</t>
        </is>
      </c>
      <c r="B28" s="7" t="inlineStr">
        <is>
          <t>Thomas</t>
        </is>
      </c>
      <c r="C28" s="7" t="inlineStr">
        <is>
          <t>Pending access, matched on first Hub sign-in.</t>
        </is>
      </c>
      <c r="D28" s="7" t="inlineStr">
        <is>
          <t>open_email</t>
        </is>
      </c>
      <c r="E28" s="7" t="inlineStr">
        <is>
          <t>generated: email while open</t>
        </is>
      </c>
      <c r="F28" s="7" t="inlineStr">
        <is>
          <t>UNIQUE (account_id, open_email)</t>
        </is>
      </c>
      <c r="G28" s="7" t="inlineStr">
        <is>
          <t>One open invite per email per account</t>
        </is>
      </c>
    </row>
    <row r="29">
      <c r="A29" s="8" t="inlineStr">
        <is>
          <t>sessions</t>
        </is>
      </c>
      <c r="B29" s="7" t="inlineStr">
        <is>
          <t>Thomas</t>
        </is>
      </c>
      <c r="C29" s="7" t="inlineStr">
        <is>
          <t>Flex refresh tokens after Hub sign-in. Replaces refresh_tokens.</t>
        </is>
      </c>
      <c r="D29" s="7" t="inlineStr">
        <is>
          <t>id</t>
        </is>
      </c>
      <c r="E29" s="7" t="inlineStr">
        <is>
          <t>CHAR(36)</t>
        </is>
      </c>
      <c r="F29" s="7" t="inlineStr">
        <is>
          <t>PK</t>
        </is>
      </c>
      <c r="G29" s="7" t="inlineStr"/>
    </row>
    <row r="30">
      <c r="A30" s="8" t="inlineStr">
        <is>
          <t>sessions</t>
        </is>
      </c>
      <c r="B30" s="7" t="inlineStr">
        <is>
          <t>Thomas</t>
        </is>
      </c>
      <c r="C30" s="7" t="inlineStr">
        <is>
          <t>Flex refresh tokens after Hub sign-in. Replaces refresh_tokens.</t>
        </is>
      </c>
      <c r="D30" s="7" t="inlineStr">
        <is>
          <t>user_id</t>
        </is>
      </c>
      <c r="E30" s="7" t="inlineStr">
        <is>
          <t>CHAR(36)</t>
        </is>
      </c>
      <c r="F30" s="7" t="inlineStr">
        <is>
          <t>FK users, cascade</t>
        </is>
      </c>
      <c r="G30" s="7" t="inlineStr"/>
    </row>
    <row r="31">
      <c r="A31" s="8" t="inlineStr">
        <is>
          <t>sessions</t>
        </is>
      </c>
      <c r="B31" s="7" t="inlineStr">
        <is>
          <t>Thomas</t>
        </is>
      </c>
      <c r="C31" s="7" t="inlineStr">
        <is>
          <t>Flex refresh tokens after Hub sign-in. Replaces refresh_tokens.</t>
        </is>
      </c>
      <c r="D31" s="7" t="inlineStr">
        <is>
          <t>token_hash</t>
        </is>
      </c>
      <c r="E31" s="7" t="inlineStr">
        <is>
          <t>CHAR(64)</t>
        </is>
      </c>
      <c r="F31" s="7" t="inlineStr">
        <is>
          <t>UNIQUE</t>
        </is>
      </c>
      <c r="G31" s="7" t="inlineStr">
        <is>
          <t>SHA-256 only</t>
        </is>
      </c>
    </row>
    <row r="32">
      <c r="A32" s="8" t="inlineStr">
        <is>
          <t>sessions</t>
        </is>
      </c>
      <c r="B32" s="7" t="inlineStr">
        <is>
          <t>Thomas</t>
        </is>
      </c>
      <c r="C32" s="7" t="inlineStr">
        <is>
          <t>Flex refresh tokens after Hub sign-in. Replaces refresh_tokens.</t>
        </is>
      </c>
      <c r="D32" s="7" t="inlineStr">
        <is>
          <t>client</t>
        </is>
      </c>
      <c r="E32" s="7" t="inlineStr">
        <is>
          <t>ENUM('web','ios')</t>
        </is>
      </c>
      <c r="F32" s="7" t="inlineStr"/>
      <c r="G32" s="7" t="inlineStr"/>
    </row>
    <row r="33">
      <c r="A33" s="8" t="inlineStr">
        <is>
          <t>sessions</t>
        </is>
      </c>
      <c r="B33" s="7" t="inlineStr">
        <is>
          <t>Thomas</t>
        </is>
      </c>
      <c r="C33" s="7" t="inlineStr">
        <is>
          <t>Flex refresh tokens after Hub sign-in. Replaces refresh_tokens.</t>
        </is>
      </c>
      <c r="D33" s="7" t="inlineStr">
        <is>
          <t>device_label</t>
        </is>
      </c>
      <c r="E33" s="7" t="inlineStr">
        <is>
          <t>VARCHAR(100) NULL</t>
        </is>
      </c>
      <c r="F33" s="7" t="inlineStr"/>
      <c r="G33" s="7" t="inlineStr"/>
    </row>
    <row r="34">
      <c r="A34" s="8" t="inlineStr">
        <is>
          <t>sessions</t>
        </is>
      </c>
      <c r="B34" s="7" t="inlineStr">
        <is>
          <t>Thomas</t>
        </is>
      </c>
      <c r="C34" s="7" t="inlineStr">
        <is>
          <t>Flex refresh tokens after Hub sign-in. Replaces refresh_tokens.</t>
        </is>
      </c>
      <c r="D34" s="7" t="inlineStr">
        <is>
          <t>hub_session_id</t>
        </is>
      </c>
      <c r="E34" s="7" t="inlineStr">
        <is>
          <t>VARCHAR(64)</t>
        </is>
      </c>
      <c r="F34" s="7" t="inlineStr"/>
      <c r="G34" s="7" t="inlineStr">
        <is>
          <t>From the Hub identity (sid)</t>
        </is>
      </c>
    </row>
    <row r="35">
      <c r="A35" s="8" t="inlineStr">
        <is>
          <t>sessions</t>
        </is>
      </c>
      <c r="B35" s="7" t="inlineStr">
        <is>
          <t>Thomas</t>
        </is>
      </c>
      <c r="C35" s="7" t="inlineStr">
        <is>
          <t>Flex refresh tokens after Hub sign-in. Replaces refresh_tokens.</t>
        </is>
      </c>
      <c r="D35" s="7" t="inlineStr">
        <is>
          <t>expires_at, absolute_expires_at, last_used_at, revoked_at</t>
        </is>
      </c>
      <c r="E35" s="7" t="inlineStr">
        <is>
          <t>DATETIME(3)</t>
        </is>
      </c>
      <c r="F35" s="7" t="inlineStr"/>
      <c r="G35" s="7" t="inlineStr"/>
    </row>
    <row r="36">
      <c r="A36" s="8" t="inlineStr">
        <is>
          <t>sessions</t>
        </is>
      </c>
      <c r="B36" s="7" t="inlineStr">
        <is>
          <t>Thomas</t>
        </is>
      </c>
      <c r="C36" s="7" t="inlineStr">
        <is>
          <t>Flex refresh tokens after Hub sign-in. Replaces refresh_tokens.</t>
        </is>
      </c>
      <c r="D36" s="7" t="inlineStr">
        <is>
          <t>created_at</t>
        </is>
      </c>
      <c r="E36" s="7" t="inlineStr">
        <is>
          <t>DATETIME(3)</t>
        </is>
      </c>
      <c r="F36" s="7" t="inlineStr"/>
      <c r="G36" s="7" t="inlineStr"/>
    </row>
    <row r="37">
      <c r="A37" s="8" t="inlineStr">
        <is>
          <t>user_settings</t>
        </is>
      </c>
      <c r="B37" s="7" t="inlineStr">
        <is>
          <t>Thomas</t>
        </is>
      </c>
      <c r="C37" s="7" t="inlineStr">
        <is>
          <t>Capture settings per user (unchanged).</t>
        </is>
      </c>
      <c r="D37" s="7" t="inlineStr">
        <is>
          <t>user_id</t>
        </is>
      </c>
      <c r="E37" s="7" t="inlineStr">
        <is>
          <t>CHAR(36)</t>
        </is>
      </c>
      <c r="F37" s="7" t="inlineStr">
        <is>
          <t>PK, FK users</t>
        </is>
      </c>
      <c r="G37" s="7" t="inlineStr"/>
    </row>
    <row r="38">
      <c r="A38" s="8" t="inlineStr">
        <is>
          <t>user_settings</t>
        </is>
      </c>
      <c r="B38" s="7" t="inlineStr">
        <is>
          <t>Thomas</t>
        </is>
      </c>
      <c r="C38" s="7" t="inlineStr">
        <is>
          <t>Capture settings per user (unchanged).</t>
        </is>
      </c>
      <c r="D38" s="7" t="inlineStr">
        <is>
          <t>upload_on_mobile_data, warn_before_photos</t>
        </is>
      </c>
      <c r="E38" s="7" t="inlineStr">
        <is>
          <t>BOOLEAN</t>
        </is>
      </c>
      <c r="F38" s="7" t="inlineStr"/>
      <c r="G38" s="7" t="inlineStr"/>
    </row>
    <row r="39">
      <c r="A39" s="8" t="inlineStr">
        <is>
          <t>user_settings</t>
        </is>
      </c>
      <c r="B39" s="7" t="inlineStr">
        <is>
          <t>Thomas</t>
        </is>
      </c>
      <c r="C39" s="7" t="inlineStr">
        <is>
          <t>Capture settings per user (unchanged).</t>
        </is>
      </c>
      <c r="D39" s="7" t="inlineStr">
        <is>
          <t>updated_at</t>
        </is>
      </c>
      <c r="E39" s="7" t="inlineStr">
        <is>
          <t>DATETIME(3)</t>
        </is>
      </c>
      <c r="F39" s="7" t="inlineStr"/>
      <c r="G39" s="7" t="inlineStr"/>
    </row>
    <row r="40">
      <c r="A40" s="8" t="inlineStr">
        <is>
          <t>hub_events</t>
        </is>
      </c>
      <c r="B40" s="7" t="inlineStr">
        <is>
          <t>Thomas</t>
        </is>
      </c>
      <c r="C40" s="7" t="inlineStr">
        <is>
          <t>Each Hub event processed once.</t>
        </is>
      </c>
      <c r="D40" s="7" t="inlineStr">
        <is>
          <t>event_id</t>
        </is>
      </c>
      <c r="E40" s="7" t="inlineStr">
        <is>
          <t>VARCHAR(64)</t>
        </is>
      </c>
      <c r="F40" s="7" t="inlineStr">
        <is>
          <t>PK</t>
        </is>
      </c>
      <c r="G40" s="7" t="inlineStr"/>
    </row>
    <row r="41">
      <c r="A41" s="8" t="inlineStr">
        <is>
          <t>hub_events</t>
        </is>
      </c>
      <c r="B41" s="7" t="inlineStr">
        <is>
          <t>Thomas</t>
        </is>
      </c>
      <c r="C41" s="7" t="inlineStr">
        <is>
          <t>Each Hub event processed once.</t>
        </is>
      </c>
      <c r="D41" s="7" t="inlineStr">
        <is>
          <t>type</t>
        </is>
      </c>
      <c r="E41" s="7" t="inlineStr">
        <is>
          <t>VARCHAR(40)</t>
        </is>
      </c>
      <c r="F41" s="7" t="inlineStr"/>
      <c r="G41" s="7" t="inlineStr"/>
    </row>
    <row r="42">
      <c r="A42" s="8" t="inlineStr">
        <is>
          <t>hub_events</t>
        </is>
      </c>
      <c r="B42" s="7" t="inlineStr">
        <is>
          <t>Thomas</t>
        </is>
      </c>
      <c r="C42" s="7" t="inlineStr">
        <is>
          <t>Each Hub event processed once.</t>
        </is>
      </c>
      <c r="D42" s="7" t="inlineStr">
        <is>
          <t>received_at</t>
        </is>
      </c>
      <c r="E42" s="7" t="inlineStr">
        <is>
          <t>DATETIME(3)</t>
        </is>
      </c>
      <c r="F42" s="7" t="inlineStr"/>
      <c r="G42" s="7" t="inlineStr"/>
    </row>
    <row r="43">
      <c r="A43" s="8" t="inlineStr">
        <is>
          <t>facilities</t>
        </is>
      </c>
      <c r="B43" s="7" t="inlineStr">
        <is>
          <t>Thomas</t>
        </is>
      </c>
      <c r="C43" s="7" t="inlineStr">
        <is>
          <t>A gym site.</t>
        </is>
      </c>
      <c r="D43" s="7" t="inlineStr">
        <is>
          <t>id</t>
        </is>
      </c>
      <c r="E43" s="7" t="inlineStr">
        <is>
          <t>CHAR(36)</t>
        </is>
      </c>
      <c r="F43" s="7" t="inlineStr">
        <is>
          <t>PK; UNIQUE (account_id, id)</t>
        </is>
      </c>
      <c r="G43" s="7" t="inlineStr"/>
    </row>
    <row r="44">
      <c r="A44" s="8" t="inlineStr">
        <is>
          <t>facilities</t>
        </is>
      </c>
      <c r="B44" s="7" t="inlineStr">
        <is>
          <t>Thomas</t>
        </is>
      </c>
      <c r="C44" s="7" t="inlineStr">
        <is>
          <t>A gym site.</t>
        </is>
      </c>
      <c r="D44" s="7" t="inlineStr">
        <is>
          <t>account_id</t>
        </is>
      </c>
      <c r="E44" s="7" t="inlineStr">
        <is>
          <t>CHAR(36)</t>
        </is>
      </c>
      <c r="F44" s="7" t="inlineStr">
        <is>
          <t>FK accounts</t>
        </is>
      </c>
      <c r="G44" s="7" t="inlineStr"/>
    </row>
    <row r="45">
      <c r="A45" s="8" t="inlineStr">
        <is>
          <t>facilities</t>
        </is>
      </c>
      <c r="B45" s="7" t="inlineStr">
        <is>
          <t>Thomas</t>
        </is>
      </c>
      <c r="C45" s="7" t="inlineStr">
        <is>
          <t>A gym site.</t>
        </is>
      </c>
      <c r="D45" s="7" t="inlineStr">
        <is>
          <t>name</t>
        </is>
      </c>
      <c r="E45" s="7" t="inlineStr">
        <is>
          <t>VARCHAR(200)</t>
        </is>
      </c>
      <c r="F45" s="7" t="inlineStr">
        <is>
          <t>UNIQUE (account_id, name)</t>
        </is>
      </c>
      <c r="G45" s="7" t="inlineStr"/>
    </row>
    <row r="46">
      <c r="A46" s="8" t="inlineStr">
        <is>
          <t>facilities</t>
        </is>
      </c>
      <c r="B46" s="7" t="inlineStr">
        <is>
          <t>Thomas</t>
        </is>
      </c>
      <c r="C46" s="7" t="inlineStr">
        <is>
          <t>A gym site.</t>
        </is>
      </c>
      <c r="D46" s="7" t="inlineStr">
        <is>
          <t>created_at</t>
        </is>
      </c>
      <c r="E46" s="7" t="inlineStr">
        <is>
          <t>DATETIME(3)</t>
        </is>
      </c>
      <c r="F46" s="7" t="inlineStr"/>
      <c r="G46" s="7" t="inlineStr"/>
    </row>
    <row r="47">
      <c r="A47" s="8" t="inlineStr">
        <is>
          <t>plans</t>
        </is>
      </c>
      <c r="B47" s="7" t="inlineStr">
        <is>
          <t>Thomas</t>
        </is>
      </c>
      <c r="C47" s="7" t="inlineStr">
        <is>
          <t>One level of one facility.</t>
        </is>
      </c>
      <c r="D47" s="7" t="inlineStr">
        <is>
          <t>id</t>
        </is>
      </c>
      <c r="E47" s="7" t="inlineStr">
        <is>
          <t>CHAR(36)</t>
        </is>
      </c>
      <c r="F47" s="7" t="inlineStr">
        <is>
          <t>PK</t>
        </is>
      </c>
      <c r="G47" s="7" t="inlineStr"/>
    </row>
    <row r="48">
      <c r="A48" s="8" t="inlineStr">
        <is>
          <t>plans</t>
        </is>
      </c>
      <c r="B48" s="7" t="inlineStr">
        <is>
          <t>Thomas</t>
        </is>
      </c>
      <c r="C48" s="7" t="inlineStr">
        <is>
          <t>One level of one facility.</t>
        </is>
      </c>
      <c r="D48" s="7" t="inlineStr">
        <is>
          <t>account_id</t>
        </is>
      </c>
      <c r="E48" s="7" t="inlineStr">
        <is>
          <t>CHAR(36)</t>
        </is>
      </c>
      <c r="F48" s="7" t="inlineStr">
        <is>
          <t>FK (account_id, facility_id) → facilities</t>
        </is>
      </c>
      <c r="G48" s="7" t="inlineStr"/>
    </row>
    <row r="49">
      <c r="A49" s="8" t="inlineStr">
        <is>
          <t>plans</t>
        </is>
      </c>
      <c r="B49" s="7" t="inlineStr">
        <is>
          <t>Thomas</t>
        </is>
      </c>
      <c r="C49" s="7" t="inlineStr">
        <is>
          <t>One level of one facility.</t>
        </is>
      </c>
      <c r="D49" s="7" t="inlineStr">
        <is>
          <t>facility_id</t>
        </is>
      </c>
      <c r="E49" s="7" t="inlineStr">
        <is>
          <t>CHAR(36)</t>
        </is>
      </c>
      <c r="F49" s="7" t="inlineStr"/>
      <c r="G49" s="7" t="inlineStr"/>
    </row>
    <row r="50">
      <c r="A50" s="8" t="inlineStr">
        <is>
          <t>plans</t>
        </is>
      </c>
      <c r="B50" s="7" t="inlineStr">
        <is>
          <t>Thomas</t>
        </is>
      </c>
      <c r="C50" s="7" t="inlineStr">
        <is>
          <t>One level of one facility.</t>
        </is>
      </c>
      <c r="D50" s="7" t="inlineStr">
        <is>
          <t>level_number</t>
        </is>
      </c>
      <c r="E50" s="7" t="inlineStr">
        <is>
          <t>SMALLINT</t>
        </is>
      </c>
      <c r="F50" s="7" t="inlineStr">
        <is>
          <t>UNIQUE (facility_id, level_number); CHECK −5..200</t>
        </is>
      </c>
      <c r="G50" s="7" t="inlineStr"/>
    </row>
    <row r="51">
      <c r="A51" s="8" t="inlineStr">
        <is>
          <t>plans</t>
        </is>
      </c>
      <c r="B51" s="7" t="inlineStr">
        <is>
          <t>Thomas</t>
        </is>
      </c>
      <c r="C51" s="7" t="inlineStr">
        <is>
          <t>One level of one facility.</t>
        </is>
      </c>
      <c r="D51" s="7" t="inlineStr">
        <is>
          <t>created_at</t>
        </is>
      </c>
      <c r="E51" s="7" t="inlineStr">
        <is>
          <t>DATETIME(3)</t>
        </is>
      </c>
      <c r="F51" s="7" t="inlineStr"/>
      <c r="G51" s="7" t="inlineStr"/>
    </row>
    <row r="52">
      <c r="A52" s="8" t="inlineStr">
        <is>
          <t>captures</t>
        </is>
      </c>
      <c r="B52" s="7" t="inlineStr">
        <is>
          <t>Thomas</t>
        </is>
      </c>
      <c r="C52" s="7" t="inlineStr">
        <is>
          <t>A scan from the app or an uploaded drawing.</t>
        </is>
      </c>
      <c r="D52" s="7" t="inlineStr">
        <is>
          <t>id</t>
        </is>
      </c>
      <c r="E52" s="7" t="inlineStr">
        <is>
          <t>CHAR(36)</t>
        </is>
      </c>
      <c r="F52" s="7" t="inlineStr">
        <is>
          <t>PK</t>
        </is>
      </c>
      <c r="G52" s="7" t="inlineStr"/>
    </row>
    <row r="53">
      <c r="A53" s="8" t="inlineStr">
        <is>
          <t>captures</t>
        </is>
      </c>
      <c r="B53" s="7" t="inlineStr">
        <is>
          <t>Thomas</t>
        </is>
      </c>
      <c r="C53" s="7" t="inlineStr">
        <is>
          <t>A scan from the app or an uploaded drawing.</t>
        </is>
      </c>
      <c r="D53" s="7" t="inlineStr">
        <is>
          <t>account_id</t>
        </is>
      </c>
      <c r="E53" s="7" t="inlineStr">
        <is>
          <t>CHAR(36)</t>
        </is>
      </c>
      <c r="F53" s="7" t="inlineStr">
        <is>
          <t>FK accounts</t>
        </is>
      </c>
      <c r="G53" s="7" t="inlineStr"/>
    </row>
    <row r="54">
      <c r="A54" s="8" t="inlineStr">
        <is>
          <t>captures</t>
        </is>
      </c>
      <c r="B54" s="7" t="inlineStr">
        <is>
          <t>Thomas</t>
        </is>
      </c>
      <c r="C54" s="7" t="inlineStr">
        <is>
          <t>A scan from the app or an uploaded drawing.</t>
        </is>
      </c>
      <c r="D54" s="7" t="inlineStr">
        <is>
          <t>user_id</t>
        </is>
      </c>
      <c r="E54" s="7" t="inlineStr">
        <is>
          <t>CHAR(36)</t>
        </is>
      </c>
      <c r="F54" s="7" t="inlineStr">
        <is>
          <t>FK users</t>
        </is>
      </c>
      <c r="G54" s="7" t="inlineStr">
        <is>
          <t>Who captured it</t>
        </is>
      </c>
    </row>
    <row r="55">
      <c r="A55" s="8" t="inlineStr">
        <is>
          <t>captures</t>
        </is>
      </c>
      <c r="B55" s="7" t="inlineStr">
        <is>
          <t>Thomas</t>
        </is>
      </c>
      <c r="C55" s="7" t="inlineStr">
        <is>
          <t>A scan from the app or an uploaded drawing.</t>
        </is>
      </c>
      <c r="D55" s="7" t="inlineStr">
        <is>
          <t>idempotency_key</t>
        </is>
      </c>
      <c r="E55" s="7" t="inlineStr">
        <is>
          <t>VARCHAR(100)</t>
        </is>
      </c>
      <c r="F55" s="7" t="inlineStr">
        <is>
          <t>UNIQUE (user_id, idempotency_key)</t>
        </is>
      </c>
      <c r="G55" s="7" t="inlineStr"/>
    </row>
    <row r="56">
      <c r="A56" s="8" t="inlineStr">
        <is>
          <t>captures</t>
        </is>
      </c>
      <c r="B56" s="7" t="inlineStr">
        <is>
          <t>Thomas</t>
        </is>
      </c>
      <c r="C56" s="7" t="inlineStr">
        <is>
          <t>A scan from the app or an uploaded drawing.</t>
        </is>
      </c>
      <c r="D56" s="7" t="inlineStr">
        <is>
          <t>source</t>
        </is>
      </c>
      <c r="E56" s="7" t="inlineStr">
        <is>
          <t>ENUM('lidar','upload','simulated')</t>
        </is>
      </c>
      <c r="F56" s="7" t="inlineStr"/>
      <c r="G56" s="7" t="inlineStr"/>
    </row>
    <row r="57">
      <c r="A57" s="8" t="inlineStr">
        <is>
          <t>captures</t>
        </is>
      </c>
      <c r="B57" s="7" t="inlineStr">
        <is>
          <t>Thomas</t>
        </is>
      </c>
      <c r="C57" s="7" t="inlineStr">
        <is>
          <t>A scan from the app or an uploaded drawing.</t>
        </is>
      </c>
      <c r="D57" s="7" t="inlineStr">
        <is>
          <t>status</t>
        </is>
      </c>
      <c r="E57" s="7" t="inlineStr">
        <is>
          <t>ENUM('registered','uploading','received')</t>
        </is>
      </c>
      <c r="F57" s="7" t="inlineStr"/>
      <c r="G57" s="7" t="inlineStr"/>
    </row>
    <row r="58">
      <c r="A58" s="8" t="inlineStr">
        <is>
          <t>captures</t>
        </is>
      </c>
      <c r="B58" s="7" t="inlineStr">
        <is>
          <t>Thomas</t>
        </is>
      </c>
      <c r="C58" s="7" t="inlineStr">
        <is>
          <t>A scan from the app or an uploaded drawing.</t>
        </is>
      </c>
      <c r="D58" s="7" t="inlineStr">
        <is>
          <t>floor_to_floor_m</t>
        </is>
      </c>
      <c r="E58" s="7" t="inlineStr">
        <is>
          <t>DECIMAL(5,2) NULL</t>
        </is>
      </c>
      <c r="F58" s="7" t="inlineStr"/>
      <c r="G58" s="7" t="inlineStr"/>
    </row>
    <row r="59">
      <c r="A59" s="8" t="inlineStr">
        <is>
          <t>captures</t>
        </is>
      </c>
      <c r="B59" s="7" t="inlineStr">
        <is>
          <t>Thomas</t>
        </is>
      </c>
      <c r="C59" s="7" t="inlineStr">
        <is>
          <t>A scan from the app or an uploaded drawing.</t>
        </is>
      </c>
      <c r="D59" s="7" t="inlineStr">
        <is>
          <t>coverage</t>
        </is>
      </c>
      <c r="E59" s="7" t="inlineStr">
        <is>
          <t>DECIMAL(5,4) NULL</t>
        </is>
      </c>
      <c r="F59" s="7" t="inlineStr">
        <is>
          <t>CHECK 0..1</t>
        </is>
      </c>
      <c r="G59" s="7" t="inlineStr"/>
    </row>
    <row r="60">
      <c r="A60" s="8" t="inlineStr">
        <is>
          <t>captures</t>
        </is>
      </c>
      <c r="B60" s="7" t="inlineStr">
        <is>
          <t>Thomas</t>
        </is>
      </c>
      <c r="C60" s="7" t="inlineStr">
        <is>
          <t>A scan from the app or an uploaded drawing.</t>
        </is>
      </c>
      <c r="D60" s="7" t="inlineStr">
        <is>
          <t>outline_closed</t>
        </is>
      </c>
      <c r="E60" s="7" t="inlineStr">
        <is>
          <t>BOOLEAN NULL</t>
        </is>
      </c>
      <c r="F60" s="7" t="inlineStr"/>
      <c r="G60" s="7" t="inlineStr"/>
    </row>
    <row r="61">
      <c r="A61" s="8" t="inlineStr">
        <is>
          <t>captures</t>
        </is>
      </c>
      <c r="B61" s="7" t="inlineStr">
        <is>
          <t>Thomas</t>
        </is>
      </c>
      <c r="C61" s="7" t="inlineStr">
        <is>
          <t>A scan from the app or an uploaded drawing.</t>
        </is>
      </c>
      <c r="D61" s="7" t="inlineStr">
        <is>
          <t>override_reason</t>
        </is>
      </c>
      <c r="E61" s="7" t="inlineStr">
        <is>
          <t>VARCHAR(500) NULL</t>
        </is>
      </c>
      <c r="F61" s="7" t="inlineStr"/>
      <c r="G61" s="7" t="inlineStr"/>
    </row>
    <row r="62">
      <c r="A62" s="8" t="inlineStr">
        <is>
          <t>captures</t>
        </is>
      </c>
      <c r="B62" s="7" t="inlineStr">
        <is>
          <t>Thomas</t>
        </is>
      </c>
      <c r="C62" s="7" t="inlineStr">
        <is>
          <t>A scan from the app or an uploaded drawing.</t>
        </is>
      </c>
      <c r="D62" s="7" t="inlineStr">
        <is>
          <t>duration_s</t>
        </is>
      </c>
      <c r="E62" s="7" t="inlineStr">
        <is>
          <t>INT UNSIGNED NULL</t>
        </is>
      </c>
      <c r="F62" s="7" t="inlineStr"/>
      <c r="G62" s="7" t="inlineStr"/>
    </row>
    <row r="63">
      <c r="A63" s="8" t="inlineStr">
        <is>
          <t>captures</t>
        </is>
      </c>
      <c r="B63" s="7" t="inlineStr">
        <is>
          <t>Thomas</t>
        </is>
      </c>
      <c r="C63" s="7" t="inlineStr">
        <is>
          <t>A scan from the app or an uploaded drawing.</t>
        </is>
      </c>
      <c r="D63" s="7" t="inlineStr">
        <is>
          <t>scale_residual_mm</t>
        </is>
      </c>
      <c r="E63" s="7" t="inlineStr">
        <is>
          <t>DECIMAL(8,2) NULL</t>
        </is>
      </c>
      <c r="F63" s="7" t="inlineStr"/>
      <c r="G63" s="7" t="inlineStr">
        <is>
          <t>Error left after control distances</t>
        </is>
      </c>
    </row>
    <row r="64">
      <c r="A64" s="8" t="inlineStr">
        <is>
          <t>captures</t>
        </is>
      </c>
      <c r="B64" s="7" t="inlineStr">
        <is>
          <t>Thomas</t>
        </is>
      </c>
      <c r="C64" s="7" t="inlineStr">
        <is>
          <t>A scan from the app or an uploaded drawing.</t>
        </is>
      </c>
      <c r="D64" s="7" t="inlineStr">
        <is>
          <t>captured_at, received_at, created_at</t>
        </is>
      </c>
      <c r="E64" s="7" t="inlineStr">
        <is>
          <t>DATETIME(3)</t>
        </is>
      </c>
      <c r="F64" s="7" t="inlineStr"/>
      <c r="G64" s="7" t="inlineStr"/>
    </row>
    <row r="65">
      <c r="A65" s="8" t="inlineStr">
        <is>
          <t>drawing_details</t>
        </is>
      </c>
      <c r="B65" s="7" t="inlineStr">
        <is>
          <t>Thomas</t>
        </is>
      </c>
      <c r="C65" s="7" t="inlineStr">
        <is>
          <t>Extra facts for an uploaded drawing.</t>
        </is>
      </c>
      <c r="D65" s="7" t="inlineStr">
        <is>
          <t>capture_id</t>
        </is>
      </c>
      <c r="E65" s="7" t="inlineStr">
        <is>
          <t>CHAR(36)</t>
        </is>
      </c>
      <c r="F65" s="7" t="inlineStr">
        <is>
          <t>PK, FK captures</t>
        </is>
      </c>
      <c r="G65" s="7" t="inlineStr"/>
    </row>
    <row r="66">
      <c r="A66" s="8" t="inlineStr">
        <is>
          <t>drawing_details</t>
        </is>
      </c>
      <c r="B66" s="7" t="inlineStr">
        <is>
          <t>Thomas</t>
        </is>
      </c>
      <c r="C66" s="7" t="inlineStr">
        <is>
          <t>Extra facts for an uploaded drawing.</t>
        </is>
      </c>
      <c r="D66" s="7" t="inlineStr">
        <is>
          <t>input_type</t>
        </is>
      </c>
      <c r="E66" s="7" t="inlineStr">
        <is>
          <t>ENUM('pdf','dwg','jpg','png')</t>
        </is>
      </c>
      <c r="F66" s="7" t="inlineStr"/>
      <c r="G66" s="7" t="inlineStr"/>
    </row>
    <row r="67">
      <c r="A67" s="8" t="inlineStr">
        <is>
          <t>drawing_details</t>
        </is>
      </c>
      <c r="B67" s="7" t="inlineStr">
        <is>
          <t>Thomas</t>
        </is>
      </c>
      <c r="C67" s="7" t="inlineStr">
        <is>
          <t>Extra facts for an uploaded drawing.</t>
        </is>
      </c>
      <c r="D67" s="7" t="inlineStr">
        <is>
          <t>original_name</t>
        </is>
      </c>
      <c r="E67" s="7" t="inlineStr">
        <is>
          <t>VARCHAR(200)</t>
        </is>
      </c>
      <c r="F67" s="7" t="inlineStr"/>
      <c r="G67" s="7" t="inlineStr"/>
    </row>
    <row r="68">
      <c r="A68" s="8" t="inlineStr">
        <is>
          <t>drawing_details</t>
        </is>
      </c>
      <c r="B68" s="7" t="inlineStr">
        <is>
          <t>Thomas</t>
        </is>
      </c>
      <c r="C68" s="7" t="inlineStr">
        <is>
          <t>Extra facts for an uploaded drawing.</t>
        </is>
      </c>
      <c r="D68" s="7" t="inlineStr">
        <is>
          <t>page, page_count</t>
        </is>
      </c>
      <c r="E68" s="7" t="inlineStr">
        <is>
          <t>SMALLINT UNSIGNED NULL</t>
        </is>
      </c>
      <c r="F68" s="7" t="inlineStr"/>
      <c r="G68" s="7" t="inlineStr"/>
    </row>
    <row r="69">
      <c r="A69" s="8" t="inlineStr">
        <is>
          <t>drawing_details</t>
        </is>
      </c>
      <c r="B69" s="7" t="inlineStr">
        <is>
          <t>Thomas</t>
        </is>
      </c>
      <c r="C69" s="7" t="inlineStr">
        <is>
          <t>Extra facts for an uploaded drawing.</t>
        </is>
      </c>
      <c r="D69" s="7" t="inlineStr">
        <is>
          <t>image_width_px, image_height_px</t>
        </is>
      </c>
      <c r="E69" s="7" t="inlineStr">
        <is>
          <t>INT UNSIGNED NULL</t>
        </is>
      </c>
      <c r="F69" s="7" t="inlineStr"/>
      <c r="G69" s="7" t="inlineStr"/>
    </row>
    <row r="70">
      <c r="A70" s="8" t="inlineStr">
        <is>
          <t>drawing_details</t>
        </is>
      </c>
      <c r="B70" s="7" t="inlineStr">
        <is>
          <t>Thomas</t>
        </is>
      </c>
      <c r="C70" s="7" t="inlineStr">
        <is>
          <t>Extra facts for an uploaded drawing.</t>
        </is>
      </c>
      <c r="D70" s="7" t="inlineStr">
        <is>
          <t>scale_ax, scale_ay, scale_bx, scale_by</t>
        </is>
      </c>
      <c r="E70" s="7" t="inlineStr">
        <is>
          <t>DECIMAL(10,2) NULL</t>
        </is>
      </c>
      <c r="F70" s="7" t="inlineStr"/>
      <c r="G70" s="7" t="inlineStr">
        <is>
          <t>Scale line in image pixels</t>
        </is>
      </c>
    </row>
    <row r="71">
      <c r="A71" s="8" t="inlineStr">
        <is>
          <t>drawing_details</t>
        </is>
      </c>
      <c r="B71" s="7" t="inlineStr">
        <is>
          <t>Thomas</t>
        </is>
      </c>
      <c r="C71" s="7" t="inlineStr">
        <is>
          <t>Extra facts for an uploaded drawing.</t>
        </is>
      </c>
      <c r="D71" s="7" t="inlineStr">
        <is>
          <t>scale_length_m</t>
        </is>
      </c>
      <c r="E71" s="7" t="inlineStr">
        <is>
          <t>DECIMAL(8,3) NULL</t>
        </is>
      </c>
      <c r="F71" s="7" t="inlineStr"/>
      <c r="G71" s="7" t="inlineStr"/>
    </row>
    <row r="72">
      <c r="A72" s="8" t="inlineStr">
        <is>
          <t>capture_tags</t>
        </is>
      </c>
      <c r="B72" s="7" t="inlineStr">
        <is>
          <t>Thomas</t>
        </is>
      </c>
      <c r="C72" s="7" t="inlineStr">
        <is>
          <t>Points tagged during the scan.</t>
        </is>
      </c>
      <c r="D72" s="7" t="inlineStr">
        <is>
          <t>id</t>
        </is>
      </c>
      <c r="E72" s="7" t="inlineStr">
        <is>
          <t>CHAR(36)</t>
        </is>
      </c>
      <c r="F72" s="7" t="inlineStr">
        <is>
          <t>PK</t>
        </is>
      </c>
      <c r="G72" s="7" t="inlineStr"/>
    </row>
    <row r="73">
      <c r="A73" s="8" t="inlineStr">
        <is>
          <t>capture_tags</t>
        </is>
      </c>
      <c r="B73" s="7" t="inlineStr">
        <is>
          <t>Thomas</t>
        </is>
      </c>
      <c r="C73" s="7" t="inlineStr">
        <is>
          <t>Points tagged during the scan.</t>
        </is>
      </c>
      <c r="D73" s="7" t="inlineStr">
        <is>
          <t>capture_id</t>
        </is>
      </c>
      <c r="E73" s="7" t="inlineStr">
        <is>
          <t>CHAR(36)</t>
        </is>
      </c>
      <c r="F73" s="7" t="inlineStr">
        <is>
          <t>FK captures</t>
        </is>
      </c>
      <c r="G73" s="7" t="inlineStr"/>
    </row>
    <row r="74">
      <c r="A74" s="8" t="inlineStr">
        <is>
          <t>capture_tags</t>
        </is>
      </c>
      <c r="B74" s="7" t="inlineStr">
        <is>
          <t>Thomas</t>
        </is>
      </c>
      <c r="C74" s="7" t="inlineStr">
        <is>
          <t>Points tagged during the scan.</t>
        </is>
      </c>
      <c r="D74" s="7" t="inlineStr">
        <is>
          <t>type</t>
        </is>
      </c>
      <c r="E74" s="7" t="inlineStr">
        <is>
          <t>ENUM('ceiling','fireExit','mirror','power','stair')</t>
        </is>
      </c>
      <c r="F74" s="7" t="inlineStr"/>
      <c r="G74" s="7" t="inlineStr"/>
    </row>
    <row r="75">
      <c r="A75" s="8" t="inlineStr">
        <is>
          <t>capture_tags</t>
        </is>
      </c>
      <c r="B75" s="7" t="inlineStr">
        <is>
          <t>Thomas</t>
        </is>
      </c>
      <c r="C75" s="7" t="inlineStr">
        <is>
          <t>Points tagged during the scan.</t>
        </is>
      </c>
      <c r="D75" s="7" t="inlineStr">
        <is>
          <t>x, y</t>
        </is>
      </c>
      <c r="E75" s="7" t="inlineStr">
        <is>
          <t>DECIMAL(10,4)</t>
        </is>
      </c>
      <c r="F75" s="7" t="inlineStr"/>
      <c r="G75" s="7" t="inlineStr">
        <is>
          <t>Metres</t>
        </is>
      </c>
    </row>
    <row r="76">
      <c r="A76" s="8" t="inlineStr">
        <is>
          <t>capture_tags</t>
        </is>
      </c>
      <c r="B76" s="7" t="inlineStr">
        <is>
          <t>Thomas</t>
        </is>
      </c>
      <c r="C76" s="7" t="inlineStr">
        <is>
          <t>Points tagged during the scan.</t>
        </is>
      </c>
      <c r="D76" s="7" t="inlineStr">
        <is>
          <t>height_m</t>
        </is>
      </c>
      <c r="E76" s="7" t="inlineStr">
        <is>
          <t>DECIMAL(6,3) NULL</t>
        </is>
      </c>
      <c r="F76" s="7" t="inlineStr"/>
      <c r="G76" s="7" t="inlineStr">
        <is>
          <t>Ceiling tags only</t>
        </is>
      </c>
    </row>
    <row r="77">
      <c r="A77" s="8" t="inlineStr">
        <is>
          <t>control_distances</t>
        </is>
      </c>
      <c r="B77" s="7" t="inlineStr">
        <is>
          <t>Thomas</t>
        </is>
      </c>
      <c r="C77" s="7" t="inlineStr">
        <is>
          <t>Laser-measured distances used to correct scale.</t>
        </is>
      </c>
      <c r="D77" s="7" t="inlineStr">
        <is>
          <t>id</t>
        </is>
      </c>
      <c r="E77" s="7" t="inlineStr">
        <is>
          <t>CHAR(36)</t>
        </is>
      </c>
      <c r="F77" s="7" t="inlineStr">
        <is>
          <t>PK</t>
        </is>
      </c>
      <c r="G77" s="7" t="inlineStr"/>
    </row>
    <row r="78">
      <c r="A78" s="8" t="inlineStr">
        <is>
          <t>control_distances</t>
        </is>
      </c>
      <c r="B78" s="7" t="inlineStr">
        <is>
          <t>Thomas</t>
        </is>
      </c>
      <c r="C78" s="7" t="inlineStr">
        <is>
          <t>Laser-measured distances used to correct scale.</t>
        </is>
      </c>
      <c r="D78" s="7" t="inlineStr">
        <is>
          <t>capture_id</t>
        </is>
      </c>
      <c r="E78" s="7" t="inlineStr">
        <is>
          <t>CHAR(36)</t>
        </is>
      </c>
      <c r="F78" s="7" t="inlineStr">
        <is>
          <t>FK captures</t>
        </is>
      </c>
      <c r="G78" s="7" t="inlineStr"/>
    </row>
    <row r="79">
      <c r="A79" s="8" t="inlineStr">
        <is>
          <t>control_distances</t>
        </is>
      </c>
      <c r="B79" s="7" t="inlineStr">
        <is>
          <t>Thomas</t>
        </is>
      </c>
      <c r="C79" s="7" t="inlineStr">
        <is>
          <t>Laser-measured distances used to correct scale.</t>
        </is>
      </c>
      <c r="D79" s="7" t="inlineStr">
        <is>
          <t>ax, ay, bx, by</t>
        </is>
      </c>
      <c r="E79" s="7" t="inlineStr">
        <is>
          <t>DECIMAL(10,4)</t>
        </is>
      </c>
      <c r="F79" s="7" t="inlineStr"/>
      <c r="G79" s="7" t="inlineStr">
        <is>
          <t>Ends, in metres</t>
        </is>
      </c>
    </row>
    <row r="80">
      <c r="A80" s="8" t="inlineStr">
        <is>
          <t>control_distances</t>
        </is>
      </c>
      <c r="B80" s="7" t="inlineStr">
        <is>
          <t>Thomas</t>
        </is>
      </c>
      <c r="C80" s="7" t="inlineStr">
        <is>
          <t>Laser-measured distances used to correct scale.</t>
        </is>
      </c>
      <c r="D80" s="7" t="inlineStr">
        <is>
          <t>measured_m</t>
        </is>
      </c>
      <c r="E80" s="7" t="inlineStr">
        <is>
          <t>DECIMAL(8,4)</t>
        </is>
      </c>
      <c r="F80" s="7" t="inlineStr"/>
      <c r="G80" s="7" t="inlineStr">
        <is>
          <t>Laser</t>
        </is>
      </c>
    </row>
    <row r="81">
      <c r="A81" s="8" t="inlineStr">
        <is>
          <t>control_distances</t>
        </is>
      </c>
      <c r="B81" s="7" t="inlineStr">
        <is>
          <t>Thomas</t>
        </is>
      </c>
      <c r="C81" s="7" t="inlineStr">
        <is>
          <t>Laser-measured distances used to correct scale.</t>
        </is>
      </c>
      <c r="D81" s="7" t="inlineStr">
        <is>
          <t>scanned_m</t>
        </is>
      </c>
      <c r="E81" s="7" t="inlineStr">
        <is>
          <t>DECIMAL(8,4)</t>
        </is>
      </c>
      <c r="F81" s="7" t="inlineStr"/>
      <c r="G81" s="7" t="inlineStr">
        <is>
          <t>Scan, before correction</t>
        </is>
      </c>
    </row>
    <row r="82">
      <c r="A82" s="8" t="inlineStr">
        <is>
          <t>capture_files</t>
        </is>
      </c>
      <c r="B82" s="7" t="inlineStr">
        <is>
          <t>Thomas</t>
        </is>
      </c>
      <c r="C82" s="7" t="inlineStr">
        <is>
          <t>Every uploaded file (scan, mesh, frames, photos, drawings, videos).</t>
        </is>
      </c>
      <c r="D82" s="7" t="inlineStr">
        <is>
          <t>id</t>
        </is>
      </c>
      <c r="E82" s="7" t="inlineStr">
        <is>
          <t>CHAR(36)</t>
        </is>
      </c>
      <c r="F82" s="7" t="inlineStr">
        <is>
          <t>PK</t>
        </is>
      </c>
      <c r="G82" s="7" t="inlineStr"/>
    </row>
    <row r="83">
      <c r="A83" s="8" t="inlineStr">
        <is>
          <t>capture_files</t>
        </is>
      </c>
      <c r="B83" s="7" t="inlineStr">
        <is>
          <t>Thomas</t>
        </is>
      </c>
      <c r="C83" s="7" t="inlineStr">
        <is>
          <t>Every uploaded file (scan, mesh, frames, photos, drawings, videos).</t>
        </is>
      </c>
      <c r="D83" s="7" t="inlineStr">
        <is>
          <t>capture_id</t>
        </is>
      </c>
      <c r="E83" s="7" t="inlineStr">
        <is>
          <t>CHAR(36)</t>
        </is>
      </c>
      <c r="F83" s="7" t="inlineStr">
        <is>
          <t>FK captures</t>
        </is>
      </c>
      <c r="G83" s="7" t="inlineStr"/>
    </row>
    <row r="84">
      <c r="A84" s="8" t="inlineStr">
        <is>
          <t>capture_files</t>
        </is>
      </c>
      <c r="B84" s="7" t="inlineStr">
        <is>
          <t>Thomas</t>
        </is>
      </c>
      <c r="C84" s="7" t="inlineStr">
        <is>
          <t>Every uploaded file (scan, mesh, frames, photos, drawings, videos).</t>
        </is>
      </c>
      <c r="D84" s="7" t="inlineStr">
        <is>
          <t>kind</t>
        </is>
      </c>
      <c r="E84" s="7" t="inlineStr">
        <is>
          <t>ENUM('model','room','mesh','keyframes','photo','source','source_image','video','thumbnail','frames')</t>
        </is>
      </c>
      <c r="F84" s="7" t="inlineStr"/>
      <c r="G84" s="7" t="inlineStr"/>
    </row>
    <row r="85">
      <c r="A85" s="8" t="inlineStr">
        <is>
          <t>capture_files</t>
        </is>
      </c>
      <c r="B85" s="7" t="inlineStr">
        <is>
          <t>Thomas</t>
        </is>
      </c>
      <c r="C85" s="7" t="inlineStr">
        <is>
          <t>Every uploaded file (scan, mesh, frames, photos, drawings, videos).</t>
        </is>
      </c>
      <c r="D85" s="7" t="inlineStr">
        <is>
          <t>name</t>
        </is>
      </c>
      <c r="E85" s="7" t="inlineStr">
        <is>
          <t>VARCHAR(200)</t>
        </is>
      </c>
      <c r="F85" s="7" t="inlineStr">
        <is>
          <t>UNIQUE (capture_id, name)</t>
        </is>
      </c>
      <c r="G85" s="7" t="inlineStr"/>
    </row>
    <row r="86">
      <c r="A86" s="8" t="inlineStr">
        <is>
          <t>capture_files</t>
        </is>
      </c>
      <c r="B86" s="7" t="inlineStr">
        <is>
          <t>Thomas</t>
        </is>
      </c>
      <c r="C86" s="7" t="inlineStr">
        <is>
          <t>Every uploaded file (scan, mesh, frames, photos, drawings, videos).</t>
        </is>
      </c>
      <c r="D86" s="7" t="inlineStr">
        <is>
          <t>bytes</t>
        </is>
      </c>
      <c r="E86" s="7" t="inlineStr">
        <is>
          <t>BIGINT UNSIGNED</t>
        </is>
      </c>
      <c r="F86" s="7" t="inlineStr"/>
      <c r="G86" s="7" t="inlineStr"/>
    </row>
    <row r="87">
      <c r="A87" s="8" t="inlineStr">
        <is>
          <t>capture_files</t>
        </is>
      </c>
      <c r="B87" s="7" t="inlineStr">
        <is>
          <t>Thomas</t>
        </is>
      </c>
      <c r="C87" s="7" t="inlineStr">
        <is>
          <t>Every uploaded file (scan, mesh, frames, photos, drawings, videos).</t>
        </is>
      </c>
      <c r="D87" s="7" t="inlineStr">
        <is>
          <t>content_type</t>
        </is>
      </c>
      <c r="E87" s="7" t="inlineStr">
        <is>
          <t>VARCHAR(100)</t>
        </is>
      </c>
      <c r="F87" s="7" t="inlineStr"/>
      <c r="G87" s="7" t="inlineStr"/>
    </row>
    <row r="88">
      <c r="A88" s="8" t="inlineStr">
        <is>
          <t>capture_files</t>
        </is>
      </c>
      <c r="B88" s="7" t="inlineStr">
        <is>
          <t>Thomas</t>
        </is>
      </c>
      <c r="C88" s="7" t="inlineStr">
        <is>
          <t>Every uploaded file (scan, mesh, frames, photos, drawings, videos).</t>
        </is>
      </c>
      <c r="D88" s="7" t="inlineStr">
        <is>
          <t>sha256</t>
        </is>
      </c>
      <c r="E88" s="7" t="inlineStr">
        <is>
          <t>CHAR(64) NULL</t>
        </is>
      </c>
      <c r="F88" s="7" t="inlineStr"/>
      <c r="G88" s="7" t="inlineStr"/>
    </row>
    <row r="89">
      <c r="A89" s="8" t="inlineStr">
        <is>
          <t>capture_files</t>
        </is>
      </c>
      <c r="B89" s="7" t="inlineStr">
        <is>
          <t>Thomas</t>
        </is>
      </c>
      <c r="C89" s="7" t="inlineStr">
        <is>
          <t>Every uploaded file (scan, mesh, frames, photos, drawings, videos).</t>
        </is>
      </c>
      <c r="D89" s="7" t="inlineStr">
        <is>
          <t>part_size, part_count</t>
        </is>
      </c>
      <c r="E89" s="7" t="inlineStr">
        <is>
          <t>INT UNSIGNED</t>
        </is>
      </c>
      <c r="F89" s="7" t="inlineStr"/>
      <c r="G89" s="7" t="inlineStr"/>
    </row>
    <row r="90">
      <c r="A90" s="8" t="inlineStr">
        <is>
          <t>capture_files</t>
        </is>
      </c>
      <c r="B90" s="7" t="inlineStr">
        <is>
          <t>Thomas</t>
        </is>
      </c>
      <c r="C90" s="7" t="inlineStr">
        <is>
          <t>Every uploaded file (scan, mesh, frames, photos, drawings, videos).</t>
        </is>
      </c>
      <c r="D90" s="7" t="inlineStr">
        <is>
          <t>storage_key</t>
        </is>
      </c>
      <c r="E90" s="7" t="inlineStr">
        <is>
          <t>VARCHAR(500)</t>
        </is>
      </c>
      <c r="F90" s="7" t="inlineStr">
        <is>
          <t>UNIQUE</t>
        </is>
      </c>
      <c r="G90" s="7" t="inlineStr"/>
    </row>
    <row r="91">
      <c r="A91" s="8" t="inlineStr">
        <is>
          <t>capture_files</t>
        </is>
      </c>
      <c r="B91" s="7" t="inlineStr">
        <is>
          <t>Thomas</t>
        </is>
      </c>
      <c r="C91" s="7" t="inlineStr">
        <is>
          <t>Every uploaded file (scan, mesh, frames, photos, drawings, videos).</t>
        </is>
      </c>
      <c r="D91" s="7" t="inlineStr">
        <is>
          <t>upload_id</t>
        </is>
      </c>
      <c r="E91" s="7" t="inlineStr">
        <is>
          <t>VARCHAR(500)</t>
        </is>
      </c>
      <c r="F91" s="7" t="inlineStr"/>
      <c r="G91" s="7" t="inlineStr"/>
    </row>
    <row r="92">
      <c r="A92" s="8" t="inlineStr">
        <is>
          <t>capture_files</t>
        </is>
      </c>
      <c r="B92" s="7" t="inlineStr">
        <is>
          <t>Thomas</t>
        </is>
      </c>
      <c r="C92" s="7" t="inlineStr">
        <is>
          <t>Every uploaded file (scan, mesh, frames, photos, drawings, videos).</t>
        </is>
      </c>
      <c r="D92" s="7" t="inlineStr">
        <is>
          <t>status</t>
        </is>
      </c>
      <c r="E92" s="7" t="inlineStr">
        <is>
          <t>ENUM('uploading','stored')</t>
        </is>
      </c>
      <c r="F92" s="7" t="inlineStr"/>
      <c r="G92" s="7" t="inlineStr"/>
    </row>
    <row r="93">
      <c r="A93" s="8" t="inlineStr">
        <is>
          <t>capture_files</t>
        </is>
      </c>
      <c r="B93" s="7" t="inlineStr">
        <is>
          <t>Thomas</t>
        </is>
      </c>
      <c r="C93" s="7" t="inlineStr">
        <is>
          <t>Every uploaded file (scan, mesh, frames, photos, drawings, videos).</t>
        </is>
      </c>
      <c r="D93" s="7" t="inlineStr">
        <is>
          <t>created_at</t>
        </is>
      </c>
      <c r="E93" s="7" t="inlineStr">
        <is>
          <t>DATETIME(3)</t>
        </is>
      </c>
      <c r="F93" s="7" t="inlineStr"/>
      <c r="G93" s="7" t="inlineStr"/>
    </row>
    <row r="94">
      <c r="A94" s="8" t="inlineStr">
        <is>
          <t>equipment_types</t>
        </is>
      </c>
      <c r="B94" s="7" t="inlineStr">
        <is>
          <t>Thomas</t>
        </is>
      </c>
      <c r="C94" s="7" t="inlineStr">
        <is>
          <t>Machine types, once each.</t>
        </is>
      </c>
      <c r="D94" s="7" t="inlineStr">
        <is>
          <t>id</t>
        </is>
      </c>
      <c r="E94" s="7" t="inlineStr">
        <is>
          <t>CHAR(36)</t>
        </is>
      </c>
      <c r="F94" s="7" t="inlineStr">
        <is>
          <t>PK</t>
        </is>
      </c>
      <c r="G94" s="7" t="inlineStr"/>
    </row>
    <row r="95">
      <c r="A95" s="8" t="inlineStr">
        <is>
          <t>equipment_types</t>
        </is>
      </c>
      <c r="B95" s="7" t="inlineStr">
        <is>
          <t>Thomas</t>
        </is>
      </c>
      <c r="C95" s="7" t="inlineStr">
        <is>
          <t>Machine types, once each.</t>
        </is>
      </c>
      <c r="D95" s="7" t="inlineStr">
        <is>
          <t>account_id</t>
        </is>
      </c>
      <c r="E95" s="7" t="inlineStr">
        <is>
          <t>CHAR(36) NULL</t>
        </is>
      </c>
      <c r="F95" s="7" t="inlineStr">
        <is>
          <t>FK accounts</t>
        </is>
      </c>
      <c r="G95" s="7" t="inlineStr">
        <is>
          <t>NULL = the global list</t>
        </is>
      </c>
    </row>
    <row r="96">
      <c r="A96" s="8" t="inlineStr">
        <is>
          <t>equipment_types</t>
        </is>
      </c>
      <c r="B96" s="7" t="inlineStr">
        <is>
          <t>Thomas</t>
        </is>
      </c>
      <c r="C96" s="7" t="inlineStr">
        <is>
          <t>Machine types, once each.</t>
        </is>
      </c>
      <c r="D96" s="7" t="inlineStr">
        <is>
          <t>code</t>
        </is>
      </c>
      <c r="E96" s="7" t="inlineStr">
        <is>
          <t>VARCHAR(40)</t>
        </is>
      </c>
      <c r="F96" s="7" t="inlineStr">
        <is>
          <t>UNIQUE (scope, code)</t>
        </is>
      </c>
      <c r="G96" s="7" t="inlineStr">
        <is>
          <t>scope = account_id or 'global' (generated)</t>
        </is>
      </c>
    </row>
    <row r="97">
      <c r="A97" s="8" t="inlineStr">
        <is>
          <t>equipment_types</t>
        </is>
      </c>
      <c r="B97" s="7" t="inlineStr">
        <is>
          <t>Thomas</t>
        </is>
      </c>
      <c r="C97" s="7" t="inlineStr">
        <is>
          <t>Machine types, once each.</t>
        </is>
      </c>
      <c r="D97" s="7" t="inlineStr">
        <is>
          <t>label</t>
        </is>
      </c>
      <c r="E97" s="7" t="inlineStr">
        <is>
          <t>VARCHAR(80)</t>
        </is>
      </c>
      <c r="F97" s="7" t="inlineStr"/>
      <c r="G97" s="7" t="inlineStr"/>
    </row>
    <row r="98">
      <c r="A98" s="8" t="inlineStr">
        <is>
          <t>machines</t>
        </is>
      </c>
      <c r="B98" s="7" t="inlineStr">
        <is>
          <t>Thomas</t>
        </is>
      </c>
      <c r="C98" s="7" t="inlineStr">
        <is>
          <t>A machine on a capture. Replaces capture_equipment.</t>
        </is>
      </c>
      <c r="D98" s="7" t="inlineStr">
        <is>
          <t>id</t>
        </is>
      </c>
      <c r="E98" s="7" t="inlineStr">
        <is>
          <t>CHAR(36)</t>
        </is>
      </c>
      <c r="F98" s="7" t="inlineStr">
        <is>
          <t>PK</t>
        </is>
      </c>
      <c r="G98" s="7" t="inlineStr"/>
    </row>
    <row r="99">
      <c r="A99" s="8" t="inlineStr">
        <is>
          <t>machines</t>
        </is>
      </c>
      <c r="B99" s="7" t="inlineStr">
        <is>
          <t>Thomas</t>
        </is>
      </c>
      <c r="C99" s="7" t="inlineStr">
        <is>
          <t>A machine on a capture. Replaces capture_equipment.</t>
        </is>
      </c>
      <c r="D99" s="7" t="inlineStr">
        <is>
          <t>account_id</t>
        </is>
      </c>
      <c r="E99" s="7" t="inlineStr">
        <is>
          <t>CHAR(36)</t>
        </is>
      </c>
      <c r="F99" s="7" t="inlineStr">
        <is>
          <t>FK (account_id, capture_id) → captures</t>
        </is>
      </c>
      <c r="G99" s="7" t="inlineStr"/>
    </row>
    <row r="100">
      <c r="A100" s="8" t="inlineStr">
        <is>
          <t>machines</t>
        </is>
      </c>
      <c r="B100" s="7" t="inlineStr">
        <is>
          <t>Thomas</t>
        </is>
      </c>
      <c r="C100" s="7" t="inlineStr">
        <is>
          <t>A machine on a capture. Replaces capture_equipment.</t>
        </is>
      </c>
      <c r="D100" s="7" t="inlineStr">
        <is>
          <t>capture_id</t>
        </is>
      </c>
      <c r="E100" s="7" t="inlineStr">
        <is>
          <t>CHAR(36)</t>
        </is>
      </c>
      <c r="F100" s="7" t="inlineStr"/>
      <c r="G100" s="7" t="inlineStr"/>
    </row>
    <row r="101">
      <c r="A101" s="8" t="inlineStr">
        <is>
          <t>machines</t>
        </is>
      </c>
      <c r="B101" s="7" t="inlineStr">
        <is>
          <t>Thomas</t>
        </is>
      </c>
      <c r="C101" s="7" t="inlineStr">
        <is>
          <t>A machine on a capture. Replaces capture_equipment.</t>
        </is>
      </c>
      <c r="D101" s="7" t="inlineStr">
        <is>
          <t>ref</t>
        </is>
      </c>
      <c r="E101" s="7" t="inlineStr">
        <is>
          <t>VARCHAR(16)</t>
        </is>
      </c>
      <c r="F101" s="7" t="inlineStr">
        <is>
          <t>UNIQUE (capture_id, ref)</t>
        </is>
      </c>
      <c r="G101" s="7" t="inlineStr">
        <is>
          <t>e.g. EQ-001</t>
        </is>
      </c>
    </row>
    <row r="102">
      <c r="A102" s="8" t="inlineStr">
        <is>
          <t>machines</t>
        </is>
      </c>
      <c r="B102" s="7" t="inlineStr">
        <is>
          <t>Thomas</t>
        </is>
      </c>
      <c r="C102" s="7" t="inlineStr">
        <is>
          <t>A machine on a capture. Replaces capture_equipment.</t>
        </is>
      </c>
      <c r="D102" s="7" t="inlineStr">
        <is>
          <t>equipment_type_id</t>
        </is>
      </c>
      <c r="E102" s="7" t="inlineStr">
        <is>
          <t>CHAR(36) NULL</t>
        </is>
      </c>
      <c r="F102" s="7" t="inlineStr">
        <is>
          <t>FK equipment_types</t>
        </is>
      </c>
      <c r="G102" s="7" t="inlineStr"/>
    </row>
    <row r="103">
      <c r="A103" s="8" t="inlineStr">
        <is>
          <t>machines</t>
        </is>
      </c>
      <c r="B103" s="7" t="inlineStr">
        <is>
          <t>Thomas</t>
        </is>
      </c>
      <c r="C103" s="7" t="inlineStr">
        <is>
          <t>A machine on a capture. Replaces capture_equipment.</t>
        </is>
      </c>
      <c r="D103" s="7" t="inlineStr">
        <is>
          <t>name</t>
        </is>
      </c>
      <c r="E103" s="7" t="inlineStr">
        <is>
          <t>VARCHAR(120)</t>
        </is>
      </c>
      <c r="F103" s="7" t="inlineStr"/>
      <c r="G103" s="7" t="inlineStr"/>
    </row>
    <row r="104">
      <c r="A104" s="8" t="inlineStr">
        <is>
          <t>machines</t>
        </is>
      </c>
      <c r="B104" s="7" t="inlineStr">
        <is>
          <t>Thomas</t>
        </is>
      </c>
      <c r="C104" s="7" t="inlineStr">
        <is>
          <t>A machine on a capture. Replaces capture_equipment.</t>
        </is>
      </c>
      <c r="D104" s="7" t="inlineStr">
        <is>
          <t>x, y, elevation_m, width_m, depth_m, height_m</t>
        </is>
      </c>
      <c r="E104" s="7" t="inlineStr">
        <is>
          <t>DECIMAL(10,4) NULL</t>
        </is>
      </c>
      <c r="F104" s="7" t="inlineStr">
        <is>
          <t>CHECK sizes &gt; 0</t>
        </is>
      </c>
      <c r="G104" s="7" t="inlineStr">
        <is>
          <t>Metres</t>
        </is>
      </c>
    </row>
    <row r="105">
      <c r="A105" s="8" t="inlineStr">
        <is>
          <t>machines</t>
        </is>
      </c>
      <c r="B105" s="7" t="inlineStr">
        <is>
          <t>Thomas</t>
        </is>
      </c>
      <c r="C105" s="7" t="inlineStr">
        <is>
          <t>A machine on a capture. Replaces capture_equipment.</t>
        </is>
      </c>
      <c r="D105" s="7" t="inlineStr">
        <is>
          <t>rotation_deg</t>
        </is>
      </c>
      <c r="E105" s="7" t="inlineStr">
        <is>
          <t>DECIMAL(7,3) NULL</t>
        </is>
      </c>
      <c r="F105" s="7" t="inlineStr"/>
      <c r="G105" s="7" t="inlineStr"/>
    </row>
    <row r="106">
      <c r="A106" s="8" t="inlineStr">
        <is>
          <t>machines</t>
        </is>
      </c>
      <c r="B106" s="7" t="inlineStr">
        <is>
          <t>Thomas</t>
        </is>
      </c>
      <c r="C106" s="7" t="inlineStr">
        <is>
          <t>A machine on a capture. Replaces capture_equipment.</t>
        </is>
      </c>
      <c r="D106" s="7" t="inlineStr">
        <is>
          <t>confidence</t>
        </is>
      </c>
      <c r="E106" s="7" t="inlineStr">
        <is>
          <t>DECIMAL(5,4) NULL</t>
        </is>
      </c>
      <c r="F106" s="7" t="inlineStr"/>
      <c r="G106" s="7" t="inlineStr"/>
    </row>
    <row r="107">
      <c r="A107" s="8" t="inlineStr">
        <is>
          <t>machines</t>
        </is>
      </c>
      <c r="B107" s="7" t="inlineStr">
        <is>
          <t>Thomas</t>
        </is>
      </c>
      <c r="C107" s="7" t="inlineStr">
        <is>
          <t>A machine on a capture. Replaces capture_equipment.</t>
        </is>
      </c>
      <c r="D107" s="7" t="inlineStr">
        <is>
          <t>source</t>
        </is>
      </c>
      <c r="E107" s="7" t="inlineStr">
        <is>
          <t>ENUM('roomplan','mesh','surveyor','reviewer')</t>
        </is>
      </c>
      <c r="F107" s="7" t="inlineStr"/>
      <c r="G107" s="7" t="inlineStr"/>
    </row>
    <row r="108">
      <c r="A108" s="8" t="inlineStr">
        <is>
          <t>machines</t>
        </is>
      </c>
      <c r="B108" s="7" t="inlineStr">
        <is>
          <t>Thomas</t>
        </is>
      </c>
      <c r="C108" s="7" t="inlineStr">
        <is>
          <t>A machine on a capture. Replaces capture_equipment.</t>
        </is>
      </c>
      <c r="D108" s="7" t="inlineStr">
        <is>
          <t>same_as_machine_id</t>
        </is>
      </c>
      <c r="E108" s="7" t="inlineStr">
        <is>
          <t>CHAR(36) NULL</t>
        </is>
      </c>
      <c r="F108" s="7" t="inlineStr">
        <is>
          <t>FK machines</t>
        </is>
      </c>
      <c r="G108" s="7" t="inlineStr">
        <is>
          <t>Reuse another machine's model</t>
        </is>
      </c>
    </row>
    <row r="109">
      <c r="A109" s="8" t="inlineStr">
        <is>
          <t>machines</t>
        </is>
      </c>
      <c r="B109" s="7" t="inlineStr">
        <is>
          <t>Thomas</t>
        </is>
      </c>
      <c r="C109" s="7" t="inlineStr">
        <is>
          <t>A machine on a capture. Replaces capture_equipment.</t>
        </is>
      </c>
      <c r="D109" s="7" t="inlineStr">
        <is>
          <t>created_at, updated_at</t>
        </is>
      </c>
      <c r="E109" s="7" t="inlineStr">
        <is>
          <t>DATETIME(3)</t>
        </is>
      </c>
      <c r="F109" s="7" t="inlineStr"/>
      <c r="G109" s="7" t="inlineStr"/>
    </row>
    <row r="110">
      <c r="A110" s="8" t="inlineStr">
        <is>
          <t>machine_videos</t>
        </is>
      </c>
      <c r="B110" s="7" t="inlineStr">
        <is>
          <t>Thomas</t>
        </is>
      </c>
      <c r="C110" s="7" t="inlineStr">
        <is>
          <t>The 360° walk-around of one machine. Replaces equipment_videos.</t>
        </is>
      </c>
      <c r="D110" s="7" t="inlineStr">
        <is>
          <t>id</t>
        </is>
      </c>
      <c r="E110" s="7" t="inlineStr">
        <is>
          <t>CHAR(36)</t>
        </is>
      </c>
      <c r="F110" s="7" t="inlineStr">
        <is>
          <t>PK</t>
        </is>
      </c>
      <c r="G110" s="7" t="inlineStr"/>
    </row>
    <row r="111">
      <c r="A111" s="8" t="inlineStr">
        <is>
          <t>machine_videos</t>
        </is>
      </c>
      <c r="B111" s="7" t="inlineStr">
        <is>
          <t>Thomas</t>
        </is>
      </c>
      <c r="C111" s="7" t="inlineStr">
        <is>
          <t>The 360° walk-around of one machine. Replaces equipment_videos.</t>
        </is>
      </c>
      <c r="D111" s="7" t="inlineStr">
        <is>
          <t>machine_id</t>
        </is>
      </c>
      <c r="E111" s="7" t="inlineStr">
        <is>
          <t>CHAR(36)</t>
        </is>
      </c>
      <c r="F111" s="7" t="inlineStr">
        <is>
          <t>UNIQUE, FK machines</t>
        </is>
      </c>
      <c r="G111" s="7" t="inlineStr">
        <is>
          <t>One per machine</t>
        </is>
      </c>
    </row>
    <row r="112">
      <c r="A112" s="8" t="inlineStr">
        <is>
          <t>machine_videos</t>
        </is>
      </c>
      <c r="B112" s="7" t="inlineStr">
        <is>
          <t>Thomas</t>
        </is>
      </c>
      <c r="C112" s="7" t="inlineStr">
        <is>
          <t>The 360° walk-around of one machine. Replaces equipment_videos.</t>
        </is>
      </c>
      <c r="D112" s="7" t="inlineStr">
        <is>
          <t>video_file_id</t>
        </is>
      </c>
      <c r="E112" s="7" t="inlineStr">
        <is>
          <t>CHAR(36)</t>
        </is>
      </c>
      <c r="F112" s="7" t="inlineStr">
        <is>
          <t>UNIQUE, FK capture_files</t>
        </is>
      </c>
      <c r="G112" s="7" t="inlineStr"/>
    </row>
    <row r="113">
      <c r="A113" s="8" t="inlineStr">
        <is>
          <t>machine_videos</t>
        </is>
      </c>
      <c r="B113" s="7" t="inlineStr">
        <is>
          <t>Thomas</t>
        </is>
      </c>
      <c r="C113" s="7" t="inlineStr">
        <is>
          <t>The 360° walk-around of one machine. Replaces equipment_videos.</t>
        </is>
      </c>
      <c r="D113" s="7" t="inlineStr">
        <is>
          <t>thumbnail_file_id</t>
        </is>
      </c>
      <c r="E113" s="7" t="inlineStr">
        <is>
          <t>CHAR(36) NULL</t>
        </is>
      </c>
      <c r="F113" s="7" t="inlineStr">
        <is>
          <t>FK capture_files</t>
        </is>
      </c>
      <c r="G113" s="7" t="inlineStr"/>
    </row>
    <row r="114">
      <c r="A114" s="8" t="inlineStr">
        <is>
          <t>machine_videos</t>
        </is>
      </c>
      <c r="B114" s="7" t="inlineStr">
        <is>
          <t>Thomas</t>
        </is>
      </c>
      <c r="C114" s="7" t="inlineStr">
        <is>
          <t>The 360° walk-around of one machine. Replaces equipment_videos.</t>
        </is>
      </c>
      <c r="D114" s="7" t="inlineStr">
        <is>
          <t>frames_file_id</t>
        </is>
      </c>
      <c r="E114" s="7" t="inlineStr">
        <is>
          <t>CHAR(36) NULL</t>
        </is>
      </c>
      <c r="F114" s="7" t="inlineStr">
        <is>
          <t>FK capture_files</t>
        </is>
      </c>
      <c r="G114" s="7" t="inlineStr">
        <is>
          <t>ARKit frames with positions and depth</t>
        </is>
      </c>
    </row>
    <row r="115">
      <c r="A115" s="8" t="inlineStr">
        <is>
          <t>machine_videos</t>
        </is>
      </c>
      <c r="B115" s="7" t="inlineStr">
        <is>
          <t>Thomas</t>
        </is>
      </c>
      <c r="C115" s="7" t="inlineStr">
        <is>
          <t>The 360° walk-around of one machine. Replaces equipment_videos.</t>
        </is>
      </c>
      <c r="D115" s="7" t="inlineStr">
        <is>
          <t>duration_s</t>
        </is>
      </c>
      <c r="E115" s="7" t="inlineStr">
        <is>
          <t>DECIMAL(8,2) NULL</t>
        </is>
      </c>
      <c r="F115" s="7" t="inlineStr"/>
      <c r="G115" s="7" t="inlineStr"/>
    </row>
    <row r="116">
      <c r="A116" s="8" t="inlineStr">
        <is>
          <t>machine_videos</t>
        </is>
      </c>
      <c r="B116" s="7" t="inlineStr">
        <is>
          <t>Thomas</t>
        </is>
      </c>
      <c r="C116" s="7" t="inlineStr">
        <is>
          <t>The 360° walk-around of one machine. Replaces equipment_videos.</t>
        </is>
      </c>
      <c r="D116" s="7" t="inlineStr">
        <is>
          <t>status</t>
        </is>
      </c>
      <c r="E116" s="7" t="inlineStr">
        <is>
          <t>ENUM('uploading','ready','failed')</t>
        </is>
      </c>
      <c r="F116" s="7" t="inlineStr"/>
      <c r="G116" s="7" t="inlineStr"/>
    </row>
    <row r="117">
      <c r="A117" s="8" t="inlineStr">
        <is>
          <t>machine_videos</t>
        </is>
      </c>
      <c r="B117" s="7" t="inlineStr">
        <is>
          <t>Thomas</t>
        </is>
      </c>
      <c r="C117" s="7" t="inlineStr">
        <is>
          <t>The 360° walk-around of one machine. Replaces equipment_videos.</t>
        </is>
      </c>
      <c r="D117" s="7" t="inlineStr">
        <is>
          <t>created_at, updated_at</t>
        </is>
      </c>
      <c r="E117" s="7" t="inlineStr">
        <is>
          <t>DATETIME(3)</t>
        </is>
      </c>
      <c r="F117" s="7" t="inlineStr"/>
      <c r="G117" s="7" t="inlineStr"/>
    </row>
    <row r="118">
      <c r="A118" s="8" t="inlineStr">
        <is>
          <t>machine_models</t>
        </is>
      </c>
      <c r="B118" s="7" t="inlineStr">
        <is>
          <t>Tejesh</t>
        </is>
      </c>
      <c r="C118" s="7" t="inlineStr">
        <is>
          <t>A 3D model built from a machine's 360° video.</t>
        </is>
      </c>
      <c r="D118" s="7" t="inlineStr">
        <is>
          <t>id</t>
        </is>
      </c>
      <c r="E118" s="7" t="inlineStr">
        <is>
          <t>CHAR(36)</t>
        </is>
      </c>
      <c r="F118" s="7" t="inlineStr">
        <is>
          <t>PK</t>
        </is>
      </c>
      <c r="G118" s="7" t="inlineStr"/>
    </row>
    <row r="119">
      <c r="A119" s="8" t="inlineStr">
        <is>
          <t>machine_models</t>
        </is>
      </c>
      <c r="B119" s="7" t="inlineStr">
        <is>
          <t>Tejesh</t>
        </is>
      </c>
      <c r="C119" s="7" t="inlineStr">
        <is>
          <t>A 3D model built from a machine's 360° video.</t>
        </is>
      </c>
      <c r="D119" s="7" t="inlineStr">
        <is>
          <t>account_id</t>
        </is>
      </c>
      <c r="E119" s="7" t="inlineStr">
        <is>
          <t>CHAR(36)</t>
        </is>
      </c>
      <c r="F119" s="7" t="inlineStr">
        <is>
          <t>FK (account_id, machine_id) → machines</t>
        </is>
      </c>
      <c r="G119" s="7" t="inlineStr"/>
    </row>
    <row r="120">
      <c r="A120" s="8" t="inlineStr">
        <is>
          <t>machine_models</t>
        </is>
      </c>
      <c r="B120" s="7" t="inlineStr">
        <is>
          <t>Tejesh</t>
        </is>
      </c>
      <c r="C120" s="7" t="inlineStr">
        <is>
          <t>A 3D model built from a machine's 360° video.</t>
        </is>
      </c>
      <c r="D120" s="7" t="inlineStr">
        <is>
          <t>machine_id</t>
        </is>
      </c>
      <c r="E120" s="7" t="inlineStr">
        <is>
          <t>CHAR(36)</t>
        </is>
      </c>
      <c r="F120" s="7" t="inlineStr"/>
      <c r="G120" s="7" t="inlineStr"/>
    </row>
    <row r="121">
      <c r="A121" s="8" t="inlineStr">
        <is>
          <t>machine_models</t>
        </is>
      </c>
      <c r="B121" s="7" t="inlineStr">
        <is>
          <t>Tejesh</t>
        </is>
      </c>
      <c r="C121" s="7" t="inlineStr">
        <is>
          <t>A 3D model built from a machine's 360° video.</t>
        </is>
      </c>
      <c r="D121" s="7" t="inlineStr">
        <is>
          <t>route</t>
        </is>
      </c>
      <c r="E121" s="7" t="inlineStr">
        <is>
          <t>ENUM('measured','generated')</t>
        </is>
      </c>
      <c r="F121" s="7" t="inlineStr"/>
      <c r="G121" s="7" t="inlineStr"/>
    </row>
    <row r="122">
      <c r="A122" s="8" t="inlineStr">
        <is>
          <t>machine_models</t>
        </is>
      </c>
      <c r="B122" s="7" t="inlineStr">
        <is>
          <t>Tejesh</t>
        </is>
      </c>
      <c r="C122" s="7" t="inlineStr">
        <is>
          <t>A 3D model built from a machine's 360° video.</t>
        </is>
      </c>
      <c r="D122" s="7" t="inlineStr">
        <is>
          <t>generator_version</t>
        </is>
      </c>
      <c r="E122" s="7" t="inlineStr">
        <is>
          <t>VARCHAR(20)</t>
        </is>
      </c>
      <c r="F122" s="7" t="inlineStr"/>
      <c r="G122" s="7" t="inlineStr"/>
    </row>
    <row r="123">
      <c r="A123" s="8" t="inlineStr">
        <is>
          <t>machine_models</t>
        </is>
      </c>
      <c r="B123" s="7" t="inlineStr">
        <is>
          <t>Tejesh</t>
        </is>
      </c>
      <c r="C123" s="7" t="inlineStr">
        <is>
          <t>A 3D model built from a machine's 360° video.</t>
        </is>
      </c>
      <c r="D123" s="7" t="inlineStr">
        <is>
          <t>input_hash</t>
        </is>
      </c>
      <c r="E123" s="7" t="inlineStr">
        <is>
          <t>CHAR(64)</t>
        </is>
      </c>
      <c r="F123" s="7" t="inlineStr"/>
      <c r="G123" s="7" t="inlineStr">
        <is>
          <t>Same input, same model</t>
        </is>
      </c>
    </row>
    <row r="124">
      <c r="A124" s="8" t="inlineStr">
        <is>
          <t>machine_models</t>
        </is>
      </c>
      <c r="B124" s="7" t="inlineStr">
        <is>
          <t>Tejesh</t>
        </is>
      </c>
      <c r="C124" s="7" t="inlineStr">
        <is>
          <t>A 3D model built from a machine's 360° video.</t>
        </is>
      </c>
      <c r="D124" s="7" t="inlineStr">
        <is>
          <t>status</t>
        </is>
      </c>
      <c r="E124" s="7" t="inlineStr">
        <is>
          <t>ENUM('queued','building','awaiting_review','approved','rejected','failed')</t>
        </is>
      </c>
      <c r="F124" s="7" t="inlineStr"/>
      <c r="G124" s="7" t="inlineStr"/>
    </row>
    <row r="125">
      <c r="A125" s="8" t="inlineStr">
        <is>
          <t>machine_models</t>
        </is>
      </c>
      <c r="B125" s="7" t="inlineStr">
        <is>
          <t>Tejesh</t>
        </is>
      </c>
      <c r="C125" s="7" t="inlineStr">
        <is>
          <t>A 3D model built from a machine's 360° video.</t>
        </is>
      </c>
      <c r="D125" s="7" t="inlineStr">
        <is>
          <t>glb_key</t>
        </is>
      </c>
      <c r="E125" s="7" t="inlineStr">
        <is>
          <t>VARCHAR(500) NULL</t>
        </is>
      </c>
      <c r="F125" s="7" t="inlineStr"/>
      <c r="G125" s="7" t="inlineStr">
        <is>
          <t>S3 key</t>
        </is>
      </c>
    </row>
    <row r="126">
      <c r="A126" s="8" t="inlineStr">
        <is>
          <t>machine_models</t>
        </is>
      </c>
      <c r="B126" s="7" t="inlineStr">
        <is>
          <t>Tejesh</t>
        </is>
      </c>
      <c r="C126" s="7" t="inlineStr">
        <is>
          <t>A 3D model built from a machine's 360° video.</t>
        </is>
      </c>
      <c r="D126" s="7" t="inlineStr">
        <is>
          <t>bytes, triangle_count</t>
        </is>
      </c>
      <c r="E126" s="7" t="inlineStr">
        <is>
          <t>BIGINT / INT UNSIGNED NULL</t>
        </is>
      </c>
      <c r="F126" s="7" t="inlineStr"/>
      <c r="G126" s="7" t="inlineStr"/>
    </row>
    <row r="127">
      <c r="A127" s="8" t="inlineStr">
        <is>
          <t>machine_models</t>
        </is>
      </c>
      <c r="B127" s="7" t="inlineStr">
        <is>
          <t>Tejesh</t>
        </is>
      </c>
      <c r="C127" s="7" t="inlineStr">
        <is>
          <t>A 3D model built from a machine's 360° video.</t>
        </is>
      </c>
      <c r="D127" s="7" t="inlineStr">
        <is>
          <t>size_w_m, size_d_m, size_h_m</t>
        </is>
      </c>
      <c r="E127" s="7" t="inlineStr">
        <is>
          <t>DECIMAL(8,4) NULL</t>
        </is>
      </c>
      <c r="F127" s="7" t="inlineStr"/>
      <c r="G127" s="7" t="inlineStr"/>
    </row>
    <row r="128">
      <c r="A128" s="8" t="inlineStr">
        <is>
          <t>machine_models</t>
        </is>
      </c>
      <c r="B128" s="7" t="inlineStr">
        <is>
          <t>Tejesh</t>
        </is>
      </c>
      <c r="C128" s="7" t="inlineStr">
        <is>
          <t>A 3D model built from a machine's 360° video.</t>
        </is>
      </c>
      <c r="D128" s="7" t="inlineStr">
        <is>
          <t>scale_error_pct</t>
        </is>
      </c>
      <c r="E128" s="7" t="inlineStr">
        <is>
          <t>DECIMAL(6,2) NULL</t>
        </is>
      </c>
      <c r="F128" s="7" t="inlineStr"/>
      <c r="G128" s="7" t="inlineStr">
        <is>
          <t>Against the scanned box</t>
        </is>
      </c>
    </row>
    <row r="129">
      <c r="A129" s="8" t="inlineStr">
        <is>
          <t>machine_models</t>
        </is>
      </c>
      <c r="B129" s="7" t="inlineStr">
        <is>
          <t>Tejesh</t>
        </is>
      </c>
      <c r="C129" s="7" t="inlineStr">
        <is>
          <t>A 3D model built from a machine's 360° video.</t>
        </is>
      </c>
      <c r="D129" s="7" t="inlineStr">
        <is>
          <t>failure_reason</t>
        </is>
      </c>
      <c r="E129" s="7" t="inlineStr">
        <is>
          <t>VARCHAR(500) NULL</t>
        </is>
      </c>
      <c r="F129" s="7" t="inlineStr"/>
      <c r="G129" s="7" t="inlineStr"/>
    </row>
    <row r="130">
      <c r="A130" s="8" t="inlineStr">
        <is>
          <t>machine_models</t>
        </is>
      </c>
      <c r="B130" s="7" t="inlineStr">
        <is>
          <t>Tejesh</t>
        </is>
      </c>
      <c r="C130" s="7" t="inlineStr">
        <is>
          <t>A 3D model built from a machine's 360° video.</t>
        </is>
      </c>
      <c r="D130" s="7" t="inlineStr">
        <is>
          <t>reviewed_by, reviewed_at</t>
        </is>
      </c>
      <c r="E130" s="7" t="inlineStr">
        <is>
          <t>CHAR(36) / DATETIME(3) NULL</t>
        </is>
      </c>
      <c r="F130" s="7" t="inlineStr">
        <is>
          <t>FK users</t>
        </is>
      </c>
      <c r="G130" s="7" t="inlineStr"/>
    </row>
    <row r="131">
      <c r="A131" s="8" t="inlineStr">
        <is>
          <t>machine_models</t>
        </is>
      </c>
      <c r="B131" s="7" t="inlineStr">
        <is>
          <t>Tejesh</t>
        </is>
      </c>
      <c r="C131" s="7" t="inlineStr">
        <is>
          <t>A 3D model built from a machine's 360° video.</t>
        </is>
      </c>
      <c r="D131" s="7" t="inlineStr">
        <is>
          <t>approved_machine_id</t>
        </is>
      </c>
      <c r="E131" s="7" t="inlineStr">
        <is>
          <t>generated: machine_id while approved</t>
        </is>
      </c>
      <c r="F131" s="7" t="inlineStr">
        <is>
          <t>UNIQUE</t>
        </is>
      </c>
      <c r="G131" s="7" t="inlineStr">
        <is>
          <t>One approved model per machine</t>
        </is>
      </c>
    </row>
    <row r="132">
      <c r="A132" s="8" t="inlineStr">
        <is>
          <t>machine_models</t>
        </is>
      </c>
      <c r="B132" s="7" t="inlineStr">
        <is>
          <t>Tejesh</t>
        </is>
      </c>
      <c r="C132" s="7" t="inlineStr">
        <is>
          <t>A 3D model built from a machine's 360° video.</t>
        </is>
      </c>
      <c r="D132" s="7" t="inlineStr">
        <is>
          <t>created_at, updated_at</t>
        </is>
      </c>
      <c r="E132" s="7" t="inlineStr">
        <is>
          <t>DATETIME(3)</t>
        </is>
      </c>
      <c r="F132" s="7" t="inlineStr"/>
      <c r="G132" s="7" t="inlineStr"/>
    </row>
    <row r="133">
      <c r="A133" s="8" t="inlineStr">
        <is>
          <t>plan_versions</t>
        </is>
      </c>
      <c r="B133" s="7" t="inlineStr">
        <is>
          <t>Thomas</t>
        </is>
      </c>
      <c r="C133" s="7" t="inlineStr">
        <is>
          <t>Each version of a level's plan; frozen once approved.</t>
        </is>
      </c>
      <c r="D133" s="7" t="inlineStr">
        <is>
          <t>id</t>
        </is>
      </c>
      <c r="E133" s="7" t="inlineStr">
        <is>
          <t>CHAR(36)</t>
        </is>
      </c>
      <c r="F133" s="7" t="inlineStr">
        <is>
          <t>PK</t>
        </is>
      </c>
      <c r="G133" s="7" t="inlineStr"/>
    </row>
    <row r="134">
      <c r="A134" s="8" t="inlineStr">
        <is>
          <t>plan_versions</t>
        </is>
      </c>
      <c r="B134" s="7" t="inlineStr">
        <is>
          <t>Thomas</t>
        </is>
      </c>
      <c r="C134" s="7" t="inlineStr">
        <is>
          <t>Each version of a level's plan; frozen once approved.</t>
        </is>
      </c>
      <c r="D134" s="7" t="inlineStr">
        <is>
          <t>account_id</t>
        </is>
      </c>
      <c r="E134" s="7" t="inlineStr">
        <is>
          <t>CHAR(36)</t>
        </is>
      </c>
      <c r="F134" s="7" t="inlineStr">
        <is>
          <t>FK (account_id, plan_id) → plans</t>
        </is>
      </c>
      <c r="G134" s="7" t="inlineStr"/>
    </row>
    <row r="135">
      <c r="A135" s="8" t="inlineStr">
        <is>
          <t>plan_versions</t>
        </is>
      </c>
      <c r="B135" s="7" t="inlineStr">
        <is>
          <t>Thomas</t>
        </is>
      </c>
      <c r="C135" s="7" t="inlineStr">
        <is>
          <t>Each version of a level's plan; frozen once approved.</t>
        </is>
      </c>
      <c r="D135" s="7" t="inlineStr">
        <is>
          <t>plan_id</t>
        </is>
      </c>
      <c r="E135" s="7" t="inlineStr">
        <is>
          <t>CHAR(36)</t>
        </is>
      </c>
      <c r="F135" s="7" t="inlineStr">
        <is>
          <t>UNIQUE (plan_id, version_no)</t>
        </is>
      </c>
      <c r="G135" s="7" t="inlineStr"/>
    </row>
    <row r="136">
      <c r="A136" s="8" t="inlineStr">
        <is>
          <t>plan_versions</t>
        </is>
      </c>
      <c r="B136" s="7" t="inlineStr">
        <is>
          <t>Thomas</t>
        </is>
      </c>
      <c r="C136" s="7" t="inlineStr">
        <is>
          <t>Each version of a level's plan; frozen once approved.</t>
        </is>
      </c>
      <c r="D136" s="7" t="inlineStr">
        <is>
          <t>version_no</t>
        </is>
      </c>
      <c r="E136" s="7" t="inlineStr">
        <is>
          <t>INT UNSIGNED</t>
        </is>
      </c>
      <c r="F136" s="7" t="inlineStr"/>
      <c r="G136" s="7" t="inlineStr"/>
    </row>
    <row r="137">
      <c r="A137" s="8" t="inlineStr">
        <is>
          <t>plan_versions</t>
        </is>
      </c>
      <c r="B137" s="7" t="inlineStr">
        <is>
          <t>Thomas</t>
        </is>
      </c>
      <c r="C137" s="7" t="inlineStr">
        <is>
          <t>Each version of a level's plan; frozen once approved.</t>
        </is>
      </c>
      <c r="D137" s="7" t="inlineStr">
        <is>
          <t>origin</t>
        </is>
      </c>
      <c r="E137" s="7" t="inlineStr">
        <is>
          <t>ENUM('capture','revision')</t>
        </is>
      </c>
      <c r="F137" s="7" t="inlineStr"/>
      <c r="G137" s="7" t="inlineStr"/>
    </row>
    <row r="138">
      <c r="A138" s="8" t="inlineStr">
        <is>
          <t>plan_versions</t>
        </is>
      </c>
      <c r="B138" s="7" t="inlineStr">
        <is>
          <t>Thomas</t>
        </is>
      </c>
      <c r="C138" s="7" t="inlineStr">
        <is>
          <t>Each version of a level's plan; frozen once approved.</t>
        </is>
      </c>
      <c r="D138" s="7" t="inlineStr">
        <is>
          <t>based_on_version_id</t>
        </is>
      </c>
      <c r="E138" s="7" t="inlineStr">
        <is>
          <t>CHAR(36) NULL</t>
        </is>
      </c>
      <c r="F138" s="7" t="inlineStr">
        <is>
          <t>FK plan_versions</t>
        </is>
      </c>
      <c r="G138" s="7" t="inlineStr"/>
    </row>
    <row r="139">
      <c r="A139" s="8" t="inlineStr">
        <is>
          <t>plan_versions</t>
        </is>
      </c>
      <c r="B139" s="7" t="inlineStr">
        <is>
          <t>Thomas</t>
        </is>
      </c>
      <c r="C139" s="7" t="inlineStr">
        <is>
          <t>Each version of a level's plan; frozen once approved.</t>
        </is>
      </c>
      <c r="D139" s="7" t="inlineStr">
        <is>
          <t>capture_id</t>
        </is>
      </c>
      <c r="E139" s="7" t="inlineStr">
        <is>
          <t>CHAR(36) NULL</t>
        </is>
      </c>
      <c r="F139" s="7" t="inlineStr">
        <is>
          <t>FK captures</t>
        </is>
      </c>
      <c r="G139" s="7" t="inlineStr"/>
    </row>
    <row r="140">
      <c r="A140" s="8" t="inlineStr">
        <is>
          <t>plan_versions</t>
        </is>
      </c>
      <c r="B140" s="7" t="inlineStr">
        <is>
          <t>Thomas</t>
        </is>
      </c>
      <c r="C140" s="7" t="inlineStr">
        <is>
          <t>Each version of a level's plan; frozen once approved.</t>
        </is>
      </c>
      <c r="D140" s="7" t="inlineStr">
        <is>
          <t>status</t>
        </is>
      </c>
      <c r="E140" s="7" t="inlineStr">
        <is>
          <t>ENUM('uploading','processing','in_review','recapture','generating','generation_failed','ready','superseded')</t>
        </is>
      </c>
      <c r="F140" s="7" t="inlineStr">
        <is>
          <t>INDEX (status, submitted_at)</t>
        </is>
      </c>
      <c r="G140" s="7" t="inlineStr"/>
    </row>
    <row r="141">
      <c r="A141" s="8" t="inlineStr">
        <is>
          <t>plan_versions</t>
        </is>
      </c>
      <c r="B141" s="7" t="inlineStr">
        <is>
          <t>Thomas</t>
        </is>
      </c>
      <c r="C141" s="7" t="inlineStr">
        <is>
          <t>Each version of a level's plan; frozen once approved.</t>
        </is>
      </c>
      <c r="D141" s="7" t="inlineStr">
        <is>
          <t>plan_json</t>
        </is>
      </c>
      <c r="E141" s="7" t="inlineStr">
        <is>
          <t>JSON</t>
        </is>
      </c>
      <c r="F141" s="7" t="inlineStr"/>
      <c r="G141" s="7" t="inlineStr">
        <is>
          <t>The plan (gymplan/2)</t>
        </is>
      </c>
    </row>
    <row r="142">
      <c r="A142" s="8" t="inlineStr">
        <is>
          <t>plan_versions</t>
        </is>
      </c>
      <c r="B142" s="7" t="inlineStr">
        <is>
          <t>Thomas</t>
        </is>
      </c>
      <c r="C142" s="7" t="inlineStr">
        <is>
          <t>Each version of a level's plan; frozen once approved.</t>
        </is>
      </c>
      <c r="D142" s="7" t="inlineStr">
        <is>
          <t>plan_revision</t>
        </is>
      </c>
      <c r="E142" s="7" t="inlineStr">
        <is>
          <t>INT UNSIGNED</t>
        </is>
      </c>
      <c r="F142" s="7" t="inlineStr"/>
      <c r="G142" s="7" t="inlineStr">
        <is>
          <t>Stale-save check</t>
        </is>
      </c>
    </row>
    <row r="143">
      <c r="A143" s="8" t="inlineStr">
        <is>
          <t>plan_versions</t>
        </is>
      </c>
      <c r="B143" s="7" t="inlineStr">
        <is>
          <t>Thomas</t>
        </is>
      </c>
      <c r="C143" s="7" t="inlineStr">
        <is>
          <t>Each version of a level's plan; frozen once approved.</t>
        </is>
      </c>
      <c r="D143" s="7" t="inlineStr">
        <is>
          <t>plan_saved_at, plan_saved_by</t>
        </is>
      </c>
      <c r="E143" s="7" t="inlineStr">
        <is>
          <t>DATETIME(3) / CHAR(36) NULL</t>
        </is>
      </c>
      <c r="F143" s="7" t="inlineStr">
        <is>
          <t>FK users</t>
        </is>
      </c>
      <c r="G143" s="7" t="inlineStr"/>
    </row>
    <row r="144">
      <c r="A144" s="8" t="inlineStr">
        <is>
          <t>plan_versions</t>
        </is>
      </c>
      <c r="B144" s="7" t="inlineStr">
        <is>
          <t>Thomas</t>
        </is>
      </c>
      <c r="C144" s="7" t="inlineStr">
        <is>
          <t>Each version of a level's plan; frozen once approved.</t>
        </is>
      </c>
      <c r="D144" s="7" t="inlineStr">
        <is>
          <t>submitted_at, review_started_at, review_last_activity_at, reviewed_at, superseded_at</t>
        </is>
      </c>
      <c r="E144" s="7" t="inlineStr">
        <is>
          <t>DATETIME(3) NULL</t>
        </is>
      </c>
      <c r="F144" s="7" t="inlineStr"/>
      <c r="G144" s="7" t="inlineStr"/>
    </row>
    <row r="145">
      <c r="A145" s="8" t="inlineStr">
        <is>
          <t>plan_versions</t>
        </is>
      </c>
      <c r="B145" s="7" t="inlineStr">
        <is>
          <t>Thomas</t>
        </is>
      </c>
      <c r="C145" s="7" t="inlineStr">
        <is>
          <t>Each version of a level's plan; frozen once approved.</t>
        </is>
      </c>
      <c r="D145" s="7" t="inlineStr">
        <is>
          <t>reviewed_by</t>
        </is>
      </c>
      <c r="E145" s="7" t="inlineStr">
        <is>
          <t>CHAR(36) NULL</t>
        </is>
      </c>
      <c r="F145" s="7" t="inlineStr">
        <is>
          <t>FK users; INDEX (reviewed_by, reviewed_at)</t>
        </is>
      </c>
      <c r="G145" s="7" t="inlineStr"/>
    </row>
    <row r="146">
      <c r="A146" s="8" t="inlineStr">
        <is>
          <t>plan_versions</t>
        </is>
      </c>
      <c r="B146" s="7" t="inlineStr">
        <is>
          <t>Thomas</t>
        </is>
      </c>
      <c r="C146" s="7" t="inlineStr">
        <is>
          <t>Each version of a level's plan; frozen once approved.</t>
        </is>
      </c>
      <c r="D146" s="7" t="inlineStr">
        <is>
          <t>review_active_seconds</t>
        </is>
      </c>
      <c r="E146" s="7" t="inlineStr">
        <is>
          <t>INT UNSIGNED</t>
        </is>
      </c>
      <c r="F146" s="7" t="inlineStr"/>
      <c r="G146" s="7" t="inlineStr">
        <is>
          <t>Idle over 10 minutes excluded</t>
        </is>
      </c>
    </row>
    <row r="147">
      <c r="A147" s="8" t="inlineStr">
        <is>
          <t>plan_versions</t>
        </is>
      </c>
      <c r="B147" s="7" t="inlineStr">
        <is>
          <t>Thomas</t>
        </is>
      </c>
      <c r="C147" s="7" t="inlineStr">
        <is>
          <t>Each version of a level's plan; frozen once approved.</t>
        </is>
      </c>
      <c r="D147" s="7" t="inlineStr">
        <is>
          <t>rejection_reason</t>
        </is>
      </c>
      <c r="E147" s="7" t="inlineStr">
        <is>
          <t>ENUM('incomplete_coverage','wrong_scale','unreadable_source','wrong_facility','other') NULL</t>
        </is>
      </c>
      <c r="F147" s="7" t="inlineStr"/>
      <c r="G147" s="7" t="inlineStr"/>
    </row>
    <row r="148">
      <c r="A148" s="8" t="inlineStr">
        <is>
          <t>plan_versions</t>
        </is>
      </c>
      <c r="B148" s="7" t="inlineStr">
        <is>
          <t>Thomas</t>
        </is>
      </c>
      <c r="C148" s="7" t="inlineStr">
        <is>
          <t>Each version of a level's plan; frozen once approved.</t>
        </is>
      </c>
      <c r="D148" s="7" t="inlineStr">
        <is>
          <t>reviewer_note</t>
        </is>
      </c>
      <c r="E148" s="7" t="inlineStr">
        <is>
          <t>TEXT NULL</t>
        </is>
      </c>
      <c r="F148" s="7" t="inlineStr"/>
      <c r="G148" s="7" t="inlineStr"/>
    </row>
    <row r="149">
      <c r="A149" s="8" t="inlineStr">
        <is>
          <t>plan_versions</t>
        </is>
      </c>
      <c r="B149" s="7" t="inlineStr">
        <is>
          <t>Thomas</t>
        </is>
      </c>
      <c r="C149" s="7" t="inlineStr">
        <is>
          <t>Each version of a level's plan; frozen once approved.</t>
        </is>
      </c>
      <c r="D149" s="7" t="inlineStr">
        <is>
          <t>content_hash</t>
        </is>
      </c>
      <c r="E149" s="7" t="inlineStr">
        <is>
          <t>CHAR(64) NULL</t>
        </is>
      </c>
      <c r="F149" s="7" t="inlineStr"/>
      <c r="G149" s="7" t="inlineStr">
        <is>
          <t>SHA-256 at approval</t>
        </is>
      </c>
    </row>
    <row r="150">
      <c r="A150" s="8" t="inlineStr">
        <is>
          <t>plan_versions</t>
        </is>
      </c>
      <c r="B150" s="7" t="inlineStr">
        <is>
          <t>Thomas</t>
        </is>
      </c>
      <c r="C150" s="7" t="inlineStr">
        <is>
          <t>Each version of a level's plan; frozen once approved.</t>
        </is>
      </c>
      <c r="D150" s="7" t="inlineStr">
        <is>
          <t>plan_format, area_m2, width_m, length_m, perimeter_m, wall_count, opening_count, machine_count, open_flag_count</t>
        </is>
      </c>
      <c r="E150" s="7" t="inlineStr">
        <is>
          <t>generated, STORED</t>
        </is>
      </c>
      <c r="F150" s="7" t="inlineStr"/>
      <c r="G150" s="7" t="inlineStr">
        <is>
          <t>From plan_json</t>
        </is>
      </c>
    </row>
    <row r="151">
      <c r="A151" s="8" t="inlineStr">
        <is>
          <t>plan_versions</t>
        </is>
      </c>
      <c r="B151" s="7" t="inlineStr">
        <is>
          <t>Thomas</t>
        </is>
      </c>
      <c r="C151" s="7" t="inlineStr">
        <is>
          <t>Each version of a level's plan; frozen once approved.</t>
        </is>
      </c>
      <c r="D151" s="7" t="inlineStr">
        <is>
          <t>ready_plan_id</t>
        </is>
      </c>
      <c r="E151" s="7" t="inlineStr">
        <is>
          <t>generated: plan_id while ready</t>
        </is>
      </c>
      <c r="F151" s="7" t="inlineStr">
        <is>
          <t>UNIQUE</t>
        </is>
      </c>
      <c r="G151" s="7" t="inlineStr">
        <is>
          <t>One ready version per plan</t>
        </is>
      </c>
    </row>
    <row r="152">
      <c r="A152" s="8" t="inlineStr">
        <is>
          <t>plan_versions</t>
        </is>
      </c>
      <c r="B152" s="7" t="inlineStr">
        <is>
          <t>Thomas</t>
        </is>
      </c>
      <c r="C152" s="7" t="inlineStr">
        <is>
          <t>Each version of a level's plan; frozen once approved.</t>
        </is>
      </c>
      <c r="D152" s="7" t="inlineStr">
        <is>
          <t>created_at, updated_at</t>
        </is>
      </c>
      <c r="E152" s="7" t="inlineStr">
        <is>
          <t>DATETIME(3)</t>
        </is>
      </c>
      <c r="F152" s="7" t="inlineStr"/>
      <c r="G152" s="7" t="inlineStr"/>
    </row>
    <row r="153">
      <c r="A153" s="8" t="inlineStr">
        <is>
          <t>generated_models</t>
        </is>
      </c>
      <c r="B153" s="7" t="inlineStr">
        <is>
          <t>Tejesh</t>
        </is>
      </c>
      <c r="C153" s="7" t="inlineStr">
        <is>
          <t>The 3D level built from an approved version.</t>
        </is>
      </c>
      <c r="D153" s="7" t="inlineStr">
        <is>
          <t>id</t>
        </is>
      </c>
      <c r="E153" s="7" t="inlineStr">
        <is>
          <t>CHAR(36)</t>
        </is>
      </c>
      <c r="F153" s="7" t="inlineStr">
        <is>
          <t>PK</t>
        </is>
      </c>
      <c r="G153" s="7" t="inlineStr"/>
    </row>
    <row r="154">
      <c r="A154" s="8" t="inlineStr">
        <is>
          <t>generated_models</t>
        </is>
      </c>
      <c r="B154" s="7" t="inlineStr">
        <is>
          <t>Tejesh</t>
        </is>
      </c>
      <c r="C154" s="7" t="inlineStr">
        <is>
          <t>The 3D level built from an approved version.</t>
        </is>
      </c>
      <c r="D154" s="7" t="inlineStr">
        <is>
          <t>account_id</t>
        </is>
      </c>
      <c r="E154" s="7" t="inlineStr">
        <is>
          <t>CHAR(36)</t>
        </is>
      </c>
      <c r="F154" s="7" t="inlineStr">
        <is>
          <t>FK (account_id, plan_version_id) → plan_versions</t>
        </is>
      </c>
      <c r="G154" s="7" t="inlineStr"/>
    </row>
    <row r="155">
      <c r="A155" s="8" t="inlineStr">
        <is>
          <t>generated_models</t>
        </is>
      </c>
      <c r="B155" s="7" t="inlineStr">
        <is>
          <t>Tejesh</t>
        </is>
      </c>
      <c r="C155" s="7" t="inlineStr">
        <is>
          <t>The 3D level built from an approved version.</t>
        </is>
      </c>
      <c r="D155" s="7" t="inlineStr">
        <is>
          <t>plan_version_id</t>
        </is>
      </c>
      <c r="E155" s="7" t="inlineStr">
        <is>
          <t>CHAR(36)</t>
        </is>
      </c>
      <c r="F155" s="7" t="inlineStr">
        <is>
          <t>UNIQUE (plan_version_id, generator_version)</t>
        </is>
      </c>
      <c r="G155" s="7" t="inlineStr"/>
    </row>
    <row r="156">
      <c r="A156" s="8" t="inlineStr">
        <is>
          <t>generated_models</t>
        </is>
      </c>
      <c r="B156" s="7" t="inlineStr">
        <is>
          <t>Tejesh</t>
        </is>
      </c>
      <c r="C156" s="7" t="inlineStr">
        <is>
          <t>The 3D level built from an approved version.</t>
        </is>
      </c>
      <c r="D156" s="7" t="inlineStr">
        <is>
          <t>generator_version</t>
        </is>
      </c>
      <c r="E156" s="7" t="inlineStr">
        <is>
          <t>VARCHAR(20)</t>
        </is>
      </c>
      <c r="F156" s="7" t="inlineStr"/>
      <c r="G156" s="7" t="inlineStr"/>
    </row>
    <row r="157">
      <c r="A157" s="8" t="inlineStr">
        <is>
          <t>generated_models</t>
        </is>
      </c>
      <c r="B157" s="7" t="inlineStr">
        <is>
          <t>Tejesh</t>
        </is>
      </c>
      <c r="C157" s="7" t="inlineStr">
        <is>
          <t>The 3D level built from an approved version.</t>
        </is>
      </c>
      <c r="D157" s="7" t="inlineStr">
        <is>
          <t>content_hash</t>
        </is>
      </c>
      <c r="E157" s="7" t="inlineStr">
        <is>
          <t>CHAR(64)</t>
        </is>
      </c>
      <c r="F157" s="7" t="inlineStr"/>
      <c r="G157" s="7" t="inlineStr">
        <is>
          <t>The approved plan's hash</t>
        </is>
      </c>
    </row>
    <row r="158">
      <c r="A158" s="8" t="inlineStr">
        <is>
          <t>generated_models</t>
        </is>
      </c>
      <c r="B158" s="7" t="inlineStr">
        <is>
          <t>Tejesh</t>
        </is>
      </c>
      <c r="C158" s="7" t="inlineStr">
        <is>
          <t>The 3D level built from an approved version.</t>
        </is>
      </c>
      <c r="D158" s="7" t="inlineStr">
        <is>
          <t>status</t>
        </is>
      </c>
      <c r="E158" s="7" t="inlineStr">
        <is>
          <t>ENUM('queued','building','ready','failed')</t>
        </is>
      </c>
      <c r="F158" s="7" t="inlineStr"/>
      <c r="G158" s="7" t="inlineStr"/>
    </row>
    <row r="159">
      <c r="A159" s="8" t="inlineStr">
        <is>
          <t>generated_models</t>
        </is>
      </c>
      <c r="B159" s="7" t="inlineStr">
        <is>
          <t>Tejesh</t>
        </is>
      </c>
      <c r="C159" s="7" t="inlineStr">
        <is>
          <t>The 3D level built from an approved version.</t>
        </is>
      </c>
      <c r="D159" s="7" t="inlineStr">
        <is>
          <t>glb_key</t>
        </is>
      </c>
      <c r="E159" s="7" t="inlineStr">
        <is>
          <t>VARCHAR(500) NULL</t>
        </is>
      </c>
      <c r="F159" s="7" t="inlineStr"/>
      <c r="G159" s="7" t="inlineStr"/>
    </row>
    <row r="160">
      <c r="A160" s="8" t="inlineStr">
        <is>
          <t>generated_models</t>
        </is>
      </c>
      <c r="B160" s="7" t="inlineStr">
        <is>
          <t>Tejesh</t>
        </is>
      </c>
      <c r="C160" s="7" t="inlineStr">
        <is>
          <t>The 3D level built from an approved version.</t>
        </is>
      </c>
      <c r="D160" s="7" t="inlineStr">
        <is>
          <t>bytes, triangle_count</t>
        </is>
      </c>
      <c r="E160" s="7" t="inlineStr">
        <is>
          <t>BIGINT / INT UNSIGNED NULL</t>
        </is>
      </c>
      <c r="F160" s="7" t="inlineStr"/>
      <c r="G160" s="7" t="inlineStr"/>
    </row>
    <row r="161">
      <c r="A161" s="8" t="inlineStr">
        <is>
          <t>generated_models</t>
        </is>
      </c>
      <c r="B161" s="7" t="inlineStr">
        <is>
          <t>Tejesh</t>
        </is>
      </c>
      <c r="C161" s="7" t="inlineStr">
        <is>
          <t>The 3D level built from an approved version.</t>
        </is>
      </c>
      <c r="D161" s="7" t="inlineStr">
        <is>
          <t>failure_reason</t>
        </is>
      </c>
      <c r="E161" s="7" t="inlineStr">
        <is>
          <t>VARCHAR(500) NULL</t>
        </is>
      </c>
      <c r="F161" s="7" t="inlineStr"/>
      <c r="G161" s="7" t="inlineStr"/>
    </row>
    <row r="162">
      <c r="A162" s="8" t="inlineStr">
        <is>
          <t>generated_models</t>
        </is>
      </c>
      <c r="B162" s="7" t="inlineStr">
        <is>
          <t>Tejesh</t>
        </is>
      </c>
      <c r="C162" s="7" t="inlineStr">
        <is>
          <t>The 3D level built from an approved version.</t>
        </is>
      </c>
      <c r="D162" s="7" t="inlineStr">
        <is>
          <t>created_at, finished_at</t>
        </is>
      </c>
      <c r="E162" s="7" t="inlineStr">
        <is>
          <t>DATETIME(3)</t>
        </is>
      </c>
      <c r="F162" s="7" t="inlineStr"/>
      <c r="G162" s="7" t="inlineStr"/>
    </row>
    <row r="163">
      <c r="A163" s="8" t="inlineStr">
        <is>
          <t>share_links</t>
        </is>
      </c>
      <c r="B163" s="7" t="inlineStr">
        <is>
          <t>Thomas</t>
        </is>
      </c>
      <c r="C163" s="7" t="inlineStr">
        <is>
          <t>View-only links that need no sign-in.</t>
        </is>
      </c>
      <c r="D163" s="7" t="inlineStr">
        <is>
          <t>id</t>
        </is>
      </c>
      <c r="E163" s="7" t="inlineStr">
        <is>
          <t>CHAR(36)</t>
        </is>
      </c>
      <c r="F163" s="7" t="inlineStr">
        <is>
          <t>PK</t>
        </is>
      </c>
      <c r="G163" s="7" t="inlineStr"/>
    </row>
    <row r="164">
      <c r="A164" s="8" t="inlineStr">
        <is>
          <t>share_links</t>
        </is>
      </c>
      <c r="B164" s="7" t="inlineStr">
        <is>
          <t>Thomas</t>
        </is>
      </c>
      <c r="C164" s="7" t="inlineStr">
        <is>
          <t>View-only links that need no sign-in.</t>
        </is>
      </c>
      <c r="D164" s="7" t="inlineStr">
        <is>
          <t>account_id</t>
        </is>
      </c>
      <c r="E164" s="7" t="inlineStr">
        <is>
          <t>CHAR(36)</t>
        </is>
      </c>
      <c r="F164" s="7" t="inlineStr">
        <is>
          <t>FK (account_id, plan_id) → plans</t>
        </is>
      </c>
      <c r="G164" s="7" t="inlineStr"/>
    </row>
    <row r="165">
      <c r="A165" s="8" t="inlineStr">
        <is>
          <t>share_links</t>
        </is>
      </c>
      <c r="B165" s="7" t="inlineStr">
        <is>
          <t>Thomas</t>
        </is>
      </c>
      <c r="C165" s="7" t="inlineStr">
        <is>
          <t>View-only links that need no sign-in.</t>
        </is>
      </c>
      <c r="D165" s="7" t="inlineStr">
        <is>
          <t>plan_id</t>
        </is>
      </c>
      <c r="E165" s="7" t="inlineStr">
        <is>
          <t>CHAR(36)</t>
        </is>
      </c>
      <c r="F165" s="7" t="inlineStr"/>
      <c r="G165" s="7" t="inlineStr"/>
    </row>
    <row r="166">
      <c r="A166" s="8" t="inlineStr">
        <is>
          <t>share_links</t>
        </is>
      </c>
      <c r="B166" s="7" t="inlineStr">
        <is>
          <t>Thomas</t>
        </is>
      </c>
      <c r="C166" s="7" t="inlineStr">
        <is>
          <t>View-only links that need no sign-in.</t>
        </is>
      </c>
      <c r="D166" s="7" t="inlineStr">
        <is>
          <t>token_hash</t>
        </is>
      </c>
      <c r="E166" s="7" t="inlineStr">
        <is>
          <t>CHAR(64)</t>
        </is>
      </c>
      <c r="F166" s="7" t="inlineStr">
        <is>
          <t>UNIQUE</t>
        </is>
      </c>
      <c r="G166" s="7" t="inlineStr">
        <is>
          <t>Only the hash is stored</t>
        </is>
      </c>
    </row>
    <row r="167">
      <c r="A167" s="8" t="inlineStr">
        <is>
          <t>share_links</t>
        </is>
      </c>
      <c r="B167" s="7" t="inlineStr">
        <is>
          <t>Thomas</t>
        </is>
      </c>
      <c r="C167" s="7" t="inlineStr">
        <is>
          <t>View-only links that need no sign-in.</t>
        </is>
      </c>
      <c r="D167" s="7" t="inlineStr">
        <is>
          <t>created_by</t>
        </is>
      </c>
      <c r="E167" s="7" t="inlineStr">
        <is>
          <t>CHAR(36)</t>
        </is>
      </c>
      <c r="F167" s="7" t="inlineStr">
        <is>
          <t>FK users</t>
        </is>
      </c>
      <c r="G167" s="7" t="inlineStr"/>
    </row>
    <row r="168">
      <c r="A168" s="8" t="inlineStr">
        <is>
          <t>share_links</t>
        </is>
      </c>
      <c r="B168" s="7" t="inlineStr">
        <is>
          <t>Thomas</t>
        </is>
      </c>
      <c r="C168" s="7" t="inlineStr">
        <is>
          <t>View-only links that need no sign-in.</t>
        </is>
      </c>
      <c r="D168" s="7" t="inlineStr">
        <is>
          <t>expires_at, revoked_at</t>
        </is>
      </c>
      <c r="E168" s="7" t="inlineStr">
        <is>
          <t>DATETIME(3) NULL</t>
        </is>
      </c>
      <c r="F168" s="7" t="inlineStr"/>
      <c r="G168" s="7" t="inlineStr"/>
    </row>
    <row r="169">
      <c r="A169" s="8" t="inlineStr">
        <is>
          <t>share_links</t>
        </is>
      </c>
      <c r="B169" s="7" t="inlineStr">
        <is>
          <t>Thomas</t>
        </is>
      </c>
      <c r="C169" s="7" t="inlineStr">
        <is>
          <t>View-only links that need no sign-in.</t>
        </is>
      </c>
      <c r="D169" s="7" t="inlineStr">
        <is>
          <t>active_plan_id</t>
        </is>
      </c>
      <c r="E169" s="7" t="inlineStr">
        <is>
          <t>generated: plan_id while not revoked</t>
        </is>
      </c>
      <c r="F169" s="7" t="inlineStr">
        <is>
          <t>UNIQUE</t>
        </is>
      </c>
      <c r="G169" s="7" t="inlineStr">
        <is>
          <t>One live link per plan</t>
        </is>
      </c>
    </row>
    <row r="170">
      <c r="A170" s="8" t="inlineStr">
        <is>
          <t>share_links</t>
        </is>
      </c>
      <c r="B170" s="7" t="inlineStr">
        <is>
          <t>Thomas</t>
        </is>
      </c>
      <c r="C170" s="7" t="inlineStr">
        <is>
          <t>View-only links that need no sign-in.</t>
        </is>
      </c>
      <c r="D170" s="7" t="inlineStr">
        <is>
          <t>created_at</t>
        </is>
      </c>
      <c r="E170" s="7" t="inlineStr">
        <is>
          <t>DATETIME(3)</t>
        </is>
      </c>
      <c r="F170" s="7" t="inlineStr"/>
      <c r="G170" s="7" t="inlineStr"/>
    </row>
    <row r="171">
      <c r="A171" s="8" t="inlineStr">
        <is>
          <t>jobs</t>
        </is>
      </c>
      <c r="B171" s="7" t="inlineStr">
        <is>
          <t>Thomas</t>
        </is>
      </c>
      <c r="C171" s="7" t="inlineStr">
        <is>
          <t>Background work and its outbox.</t>
        </is>
      </c>
      <c r="D171" s="7" t="inlineStr">
        <is>
          <t>id</t>
        </is>
      </c>
      <c r="E171" s="7" t="inlineStr">
        <is>
          <t>CHAR(36)</t>
        </is>
      </c>
      <c r="F171" s="7" t="inlineStr">
        <is>
          <t>PK</t>
        </is>
      </c>
      <c r="G171" s="7" t="inlineStr"/>
    </row>
    <row r="172">
      <c r="A172" s="8" t="inlineStr">
        <is>
          <t>jobs</t>
        </is>
      </c>
      <c r="B172" s="7" t="inlineStr">
        <is>
          <t>Thomas</t>
        </is>
      </c>
      <c r="C172" s="7" t="inlineStr">
        <is>
          <t>Background work and its outbox.</t>
        </is>
      </c>
      <c r="D172" s="7" t="inlineStr">
        <is>
          <t>account_id</t>
        </is>
      </c>
      <c r="E172" s="7" t="inlineStr">
        <is>
          <t>CHAR(36) NULL</t>
        </is>
      </c>
      <c r="F172" s="7" t="inlineStr"/>
      <c r="G172" s="7" t="inlineStr"/>
    </row>
    <row r="173">
      <c r="A173" s="8" t="inlineStr">
        <is>
          <t>jobs</t>
        </is>
      </c>
      <c r="B173" s="7" t="inlineStr">
        <is>
          <t>Thomas</t>
        </is>
      </c>
      <c r="C173" s="7" t="inlineStr">
        <is>
          <t>Background work and its outbox.</t>
        </is>
      </c>
      <c r="D173" s="7" t="inlineStr">
        <is>
          <t>kind</t>
        </is>
      </c>
      <c r="E173" s="7" t="inlineStr">
        <is>
          <t>ENUM('scan.read','drawing.read','plan.generate','asset.build','account.remove','retention')</t>
        </is>
      </c>
      <c r="F173" s="7" t="inlineStr"/>
      <c r="G173" s="7" t="inlineStr"/>
    </row>
    <row r="174">
      <c r="A174" s="8" t="inlineStr">
        <is>
          <t>jobs</t>
        </is>
      </c>
      <c r="B174" s="7" t="inlineStr">
        <is>
          <t>Thomas</t>
        </is>
      </c>
      <c r="C174" s="7" t="inlineStr">
        <is>
          <t>Background work and its outbox.</t>
        </is>
      </c>
      <c r="D174" s="7" t="inlineStr">
        <is>
          <t>subject_id</t>
        </is>
      </c>
      <c r="E174" s="7" t="inlineStr">
        <is>
          <t>CHAR(36)</t>
        </is>
      </c>
      <c r="F174" s="7" t="inlineStr"/>
      <c r="G174" s="7" t="inlineStr">
        <is>
          <t>Version, machine or account</t>
        </is>
      </c>
    </row>
    <row r="175">
      <c r="A175" s="8" t="inlineStr">
        <is>
          <t>jobs</t>
        </is>
      </c>
      <c r="B175" s="7" t="inlineStr">
        <is>
          <t>Thomas</t>
        </is>
      </c>
      <c r="C175" s="7" t="inlineStr">
        <is>
          <t>Background work and its outbox.</t>
        </is>
      </c>
      <c r="D175" s="7" t="inlineStr">
        <is>
          <t>dedupe_key</t>
        </is>
      </c>
      <c r="E175" s="7" t="inlineStr">
        <is>
          <t>VARCHAR(100)</t>
        </is>
      </c>
      <c r="F175" s="7" t="inlineStr">
        <is>
          <t>UNIQUE (kind, dedupe_key)</t>
        </is>
      </c>
      <c r="G175" s="7" t="inlineStr">
        <is>
          <t>The same work is queued once</t>
        </is>
      </c>
    </row>
    <row r="176">
      <c r="A176" s="8" t="inlineStr">
        <is>
          <t>jobs</t>
        </is>
      </c>
      <c r="B176" s="7" t="inlineStr">
        <is>
          <t>Thomas</t>
        </is>
      </c>
      <c r="C176" s="7" t="inlineStr">
        <is>
          <t>Background work and its outbox.</t>
        </is>
      </c>
      <c r="D176" s="7" t="inlineStr">
        <is>
          <t>status</t>
        </is>
      </c>
      <c r="E176" s="7" t="inlineStr">
        <is>
          <t>ENUM('queued','running','succeeded','failed','dead')</t>
        </is>
      </c>
      <c r="F176" s="7" t="inlineStr">
        <is>
          <t>INDEX (status, run_after)</t>
        </is>
      </c>
      <c r="G176" s="7" t="inlineStr"/>
    </row>
    <row r="177">
      <c r="A177" s="8" t="inlineStr">
        <is>
          <t>jobs</t>
        </is>
      </c>
      <c r="B177" s="7" t="inlineStr">
        <is>
          <t>Thomas</t>
        </is>
      </c>
      <c r="C177" s="7" t="inlineStr">
        <is>
          <t>Background work and its outbox.</t>
        </is>
      </c>
      <c r="D177" s="7" t="inlineStr">
        <is>
          <t>attempts</t>
        </is>
      </c>
      <c r="E177" s="7" t="inlineStr">
        <is>
          <t>TINYINT UNSIGNED</t>
        </is>
      </c>
      <c r="F177" s="7" t="inlineStr"/>
      <c r="G177" s="7" t="inlineStr"/>
    </row>
    <row r="178">
      <c r="A178" s="8" t="inlineStr">
        <is>
          <t>jobs</t>
        </is>
      </c>
      <c r="B178" s="7" t="inlineStr">
        <is>
          <t>Thomas</t>
        </is>
      </c>
      <c r="C178" s="7" t="inlineStr">
        <is>
          <t>Background work and its outbox.</t>
        </is>
      </c>
      <c r="D178" s="7" t="inlineStr">
        <is>
          <t>last_error</t>
        </is>
      </c>
      <c r="E178" s="7" t="inlineStr">
        <is>
          <t>TEXT NULL</t>
        </is>
      </c>
      <c r="F178" s="7" t="inlineStr"/>
      <c r="G178" s="7" t="inlineStr"/>
    </row>
    <row r="179">
      <c r="A179" s="8" t="inlineStr">
        <is>
          <t>jobs</t>
        </is>
      </c>
      <c r="B179" s="7" t="inlineStr">
        <is>
          <t>Thomas</t>
        </is>
      </c>
      <c r="C179" s="7" t="inlineStr">
        <is>
          <t>Background work and its outbox.</t>
        </is>
      </c>
      <c r="D179" s="7" t="inlineStr">
        <is>
          <t>run_after, enqueued_at, started_at, finished_at, created_at</t>
        </is>
      </c>
      <c r="E179" s="7" t="inlineStr">
        <is>
          <t>DATETIME(3)</t>
        </is>
      </c>
      <c r="F179" s="7" t="inlineStr"/>
      <c r="G179" s="7" t="inlineStr">
        <is>
          <t>enqueued_at NULL until sent to SQS</t>
        </is>
      </c>
    </row>
    <row r="180">
      <c r="A180" s="8" t="inlineStr">
        <is>
          <t>audit_log</t>
        </is>
      </c>
      <c r="B180" s="7" t="inlineStr">
        <is>
          <t>Thomas</t>
        </is>
      </c>
      <c r="C180" s="7" t="inlineStr">
        <is>
          <t>Every state change and admin action; also the plan history.</t>
        </is>
      </c>
      <c r="D180" s="7" t="inlineStr">
        <is>
          <t>id</t>
        </is>
      </c>
      <c r="E180" s="7" t="inlineStr">
        <is>
          <t>CHAR(36)</t>
        </is>
      </c>
      <c r="F180" s="7" t="inlineStr">
        <is>
          <t>PK</t>
        </is>
      </c>
      <c r="G180" s="7" t="inlineStr"/>
    </row>
    <row r="181">
      <c r="A181" s="8" t="inlineStr">
        <is>
          <t>audit_log</t>
        </is>
      </c>
      <c r="B181" s="7" t="inlineStr">
        <is>
          <t>Thomas</t>
        </is>
      </c>
      <c r="C181" s="7" t="inlineStr">
        <is>
          <t>Every state change and admin action; also the plan history.</t>
        </is>
      </c>
      <c r="D181" s="7" t="inlineStr">
        <is>
          <t>account_id, actor_user_id, target_id</t>
        </is>
      </c>
      <c r="E181" s="7" t="inlineStr">
        <is>
          <t>CHAR(36) NULL</t>
        </is>
      </c>
      <c r="F181" s="7" t="inlineStr">
        <is>
          <t>No FKs on purpose</t>
        </is>
      </c>
      <c r="G181" s="7" t="inlineStr">
        <is>
          <t>Outlives removed data</t>
        </is>
      </c>
    </row>
    <row r="182">
      <c r="A182" s="8" t="inlineStr">
        <is>
          <t>audit_log</t>
        </is>
      </c>
      <c r="B182" s="7" t="inlineStr">
        <is>
          <t>Thomas</t>
        </is>
      </c>
      <c r="C182" s="7" t="inlineStr">
        <is>
          <t>Every state change and admin action; also the plan history.</t>
        </is>
      </c>
      <c r="D182" s="7" t="inlineStr">
        <is>
          <t>actor_name, target_label</t>
        </is>
      </c>
      <c r="E182" s="7" t="inlineStr">
        <is>
          <t>VARCHAR NULL</t>
        </is>
      </c>
      <c r="F182" s="7" t="inlineStr"/>
      <c r="G182" s="7" t="inlineStr">
        <is>
          <t>Snapshots; cleared on account removal</t>
        </is>
      </c>
    </row>
    <row r="183">
      <c r="A183" s="8" t="inlineStr">
        <is>
          <t>audit_log</t>
        </is>
      </c>
      <c r="B183" s="7" t="inlineStr">
        <is>
          <t>Thomas</t>
        </is>
      </c>
      <c r="C183" s="7" t="inlineStr">
        <is>
          <t>Every state change and admin action; also the plan history.</t>
        </is>
      </c>
      <c r="D183" s="7" t="inlineStr">
        <is>
          <t>action, target_type</t>
        </is>
      </c>
      <c r="E183" s="7" t="inlineStr">
        <is>
          <t>VARCHAR(40) / VARCHAR(20)</t>
        </is>
      </c>
      <c r="F183" s="7" t="inlineStr">
        <is>
          <t>INDEX (target_type, target_id, created_at)</t>
        </is>
      </c>
      <c r="G183" s="7" t="inlineStr"/>
    </row>
    <row r="184">
      <c r="A184" s="8" t="inlineStr">
        <is>
          <t>audit_log</t>
        </is>
      </c>
      <c r="B184" s="7" t="inlineStr">
        <is>
          <t>Thomas</t>
        </is>
      </c>
      <c r="C184" s="7" t="inlineStr">
        <is>
          <t>Every state change and admin action; also the plan history.</t>
        </is>
      </c>
      <c r="D184" s="7" t="inlineStr">
        <is>
          <t>version_no</t>
        </is>
      </c>
      <c r="E184" s="7" t="inlineStr">
        <is>
          <t>INT NULL</t>
        </is>
      </c>
      <c r="F184" s="7" t="inlineStr"/>
      <c r="G184" s="7" t="inlineStr"/>
    </row>
    <row r="185">
      <c r="A185" s="8" t="inlineStr">
        <is>
          <t>audit_log</t>
        </is>
      </c>
      <c r="B185" s="7" t="inlineStr">
        <is>
          <t>Thomas</t>
        </is>
      </c>
      <c r="C185" s="7" t="inlineStr">
        <is>
          <t>Every state change and admin action; also the plan history.</t>
        </is>
      </c>
      <c r="D185" s="7" t="inlineStr">
        <is>
          <t>detail</t>
        </is>
      </c>
      <c r="E185" s="7" t="inlineStr">
        <is>
          <t>JSON NULL</t>
        </is>
      </c>
      <c r="F185" s="7" t="inlineStr"/>
      <c r="G185" s="7" t="inlineStr"/>
    </row>
    <row r="186">
      <c r="A186" s="8" t="inlineStr">
        <is>
          <t>audit_log</t>
        </is>
      </c>
      <c r="B186" s="7" t="inlineStr">
        <is>
          <t>Thomas</t>
        </is>
      </c>
      <c r="C186" s="7" t="inlineStr">
        <is>
          <t>Every state change and admin action; also the plan history.</t>
        </is>
      </c>
      <c r="D186" s="7" t="inlineStr">
        <is>
          <t>created_at</t>
        </is>
      </c>
      <c r="E186" s="7" t="inlineStr">
        <is>
          <t>DATETIME(3)</t>
        </is>
      </c>
      <c r="F186" s="7" t="inlineStr">
        <is>
          <t>INDEX (account_id, created_at)</t>
        </is>
      </c>
      <c r="G186" s="7" t="inlineStr"/>
    </row>
  </sheetData>
  <autoFilter ref="A1:G18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9"/>
  <sheetViews>
    <sheetView workbookViewId="0">
      <pane ySplit="1" topLeftCell="A2" activePane="bottomLeft" state="frozen"/>
      <selection pane="bottomLeft" activeCell="A1" sqref="A1"/>
    </sheetView>
  </sheetViews>
  <sheetFormatPr baseColWidth="8" defaultRowHeight="15"/>
  <cols>
    <col width="20" customWidth="1" min="1" max="1"/>
    <col width="46" customWidth="1" min="2" max="2"/>
    <col width="46" customWidth="1" min="3" max="3"/>
    <col width="44" customWidth="1" min="4" max="4"/>
    <col width="12" customWidth="1" min="5" max="5"/>
  </cols>
  <sheetData>
    <row r="1">
      <c r="A1" s="6" t="inlineStr">
        <is>
          <t>Element</t>
        </is>
      </c>
      <c r="B1" s="6" t="inlineStr">
        <is>
          <t>Field</t>
        </is>
      </c>
      <c r="C1" s="6" t="inlineStr">
        <is>
          <t>3D uses it for</t>
        </is>
      </c>
      <c r="D1" s="6" t="inlineStr">
        <is>
          <t>In gymplan/2 today</t>
        </is>
      </c>
      <c r="E1" s="6" t="inlineStr">
        <is>
          <t>Owner</t>
        </is>
      </c>
    </row>
    <row r="2">
      <c r="A2" s="8" t="inlineStr">
        <is>
          <t>Level</t>
        </is>
      </c>
      <c r="B2" s="7" t="inlineStr">
        <is>
          <t>Floor elevation</t>
        </is>
      </c>
      <c r="C2" s="7" t="inlineStr">
        <is>
          <t>Stacking floor, walls and ceiling at the right height</t>
        </is>
      </c>
      <c r="D2" s="7" t="inlineStr">
        <is>
          <t>Yes (room.elevationM)</t>
        </is>
      </c>
      <c r="E2" s="7" t="inlineStr">
        <is>
          <t>Thomas</t>
        </is>
      </c>
    </row>
    <row r="3">
      <c r="A3" s="8" t="inlineStr">
        <is>
          <t>Level</t>
        </is>
      </c>
      <c r="B3" s="7" t="inlineStr">
        <is>
          <t>Default ceiling height</t>
        </is>
      </c>
      <c r="C3" s="7" t="inlineStr">
        <is>
          <t>Wall tops where no space or wall height is given</t>
        </is>
      </c>
      <c r="D3" s="7" t="inlineStr">
        <is>
          <t>Yes (ceilingHeightM, one per plan)</t>
        </is>
      </c>
      <c r="E3" s="7" t="inlineStr">
        <is>
          <t>Thomas</t>
        </is>
      </c>
    </row>
    <row r="4">
      <c r="A4" s="8" t="inlineStr">
        <is>
          <t>Spaces</t>
        </is>
      </c>
      <c r="B4" s="7" t="inlineStr">
        <is>
          <t>Outline polygon, name and kind</t>
        </is>
      </c>
      <c r="C4" s="7" t="inlineStr">
        <is>
          <t>Floor and ceiling surfaces per space; labels</t>
        </is>
      </c>
      <c r="D4" s="7" t="inlineStr">
        <is>
          <t>No</t>
        </is>
      </c>
      <c r="E4" s="7" t="inlineStr">
        <is>
          <t>Thomas</t>
        </is>
      </c>
    </row>
    <row r="5">
      <c r="A5" s="8" t="inlineStr">
        <is>
          <t>Spaces</t>
        </is>
      </c>
      <c r="B5" s="7" t="inlineStr">
        <is>
          <t>Floor finish</t>
        </is>
      </c>
      <c r="C5" s="7" t="inlineStr">
        <is>
          <t>Floor material per space (rubber, timber, turf)</t>
        </is>
      </c>
      <c r="D5" s="7" t="inlineStr">
        <is>
          <t>No</t>
        </is>
      </c>
      <c r="E5" s="7" t="inlineStr">
        <is>
          <t>Thomas</t>
        </is>
      </c>
    </row>
    <row r="6">
      <c r="A6" s="8" t="inlineStr">
        <is>
          <t>Spaces</t>
        </is>
      </c>
      <c r="B6" s="7" t="inlineStr">
        <is>
          <t>Ceiling height and ceiling zones</t>
        </is>
      </c>
      <c r="C6" s="7" t="inlineStr">
        <is>
          <t>Raised or dropped ceilings, different heights per room</t>
        </is>
      </c>
      <c r="D6" s="7" t="inlineStr">
        <is>
          <t>No</t>
        </is>
      </c>
      <c r="E6" s="7" t="inlineStr">
        <is>
          <t>Thomas</t>
        </is>
      </c>
    </row>
    <row r="7">
      <c r="A7" s="8" t="inlineStr">
        <is>
          <t>Walls</t>
        </is>
      </c>
      <c r="B7" s="7" t="inlineStr">
        <is>
          <t>Centre line (start and end points)</t>
        </is>
      </c>
      <c r="C7" s="7" t="inlineStr">
        <is>
          <t>Wall position and length</t>
        </is>
      </c>
      <c r="D7" s="7" t="inlineStr">
        <is>
          <t>Yes</t>
        </is>
      </c>
      <c r="E7" s="7" t="inlineStr">
        <is>
          <t>Thomas</t>
        </is>
      </c>
    </row>
    <row r="8">
      <c r="A8" s="8" t="inlineStr">
        <is>
          <t>Walls</t>
        </is>
      </c>
      <c r="B8" s="7" t="inlineStr">
        <is>
          <t>Height</t>
        </is>
      </c>
      <c r="C8" s="7" t="inlineStr">
        <is>
          <t>Wall top</t>
        </is>
      </c>
      <c r="D8" s="7" t="inlineStr">
        <is>
          <t>Yes (heightM, from RoomPlan)</t>
        </is>
      </c>
      <c r="E8" s="7" t="inlineStr">
        <is>
          <t>Thomas</t>
        </is>
      </c>
    </row>
    <row r="9">
      <c r="A9" s="8" t="inlineStr">
        <is>
          <t>Walls</t>
        </is>
      </c>
      <c r="B9" s="7" t="inlineStr">
        <is>
          <t>Thickness</t>
        </is>
      </c>
      <c r="C9" s="7" t="inlineStr">
        <is>
          <t>Wall depth; how openings look in section</t>
        </is>
      </c>
      <c r="D9" s="7" t="inlineStr">
        <is>
          <t>Partly (thicknessM, usually blank: RoomPlan sees walls as surfaces)</t>
        </is>
      </c>
      <c r="E9" s="7" t="inlineStr">
        <is>
          <t>Thomas</t>
        </is>
      </c>
    </row>
    <row r="10">
      <c r="A10" s="8" t="inlineStr">
        <is>
          <t>Walls</t>
        </is>
      </c>
      <c r="B10" s="7" t="inlineStr">
        <is>
          <t>Kind: exterior, interior, partition, glass</t>
        </is>
      </c>
      <c r="C10" s="7" t="inlineStr">
        <is>
          <t>Material and transparency</t>
        </is>
      </c>
      <c r="D10" s="7" t="inlineStr">
        <is>
          <t>No</t>
        </is>
      </c>
      <c r="E10" s="7" t="inlineStr">
        <is>
          <t>Thomas</t>
        </is>
      </c>
    </row>
    <row r="11">
      <c r="A11" s="8" t="inlineStr">
        <is>
          <t>Walls</t>
        </is>
      </c>
      <c r="B11" s="7" t="inlineStr">
        <is>
          <t>Curve</t>
        </is>
      </c>
      <c r="C11" s="7" t="inlineStr">
        <is>
          <t>Curved walls</t>
        </is>
      </c>
      <c r="D11" s="7" t="inlineStr">
        <is>
          <t>No</t>
        </is>
      </c>
      <c r="E11" s="7" t="inlineStr">
        <is>
          <t>Thomas</t>
        </is>
      </c>
    </row>
    <row r="12">
      <c r="A12" s="8" t="inlineStr">
        <is>
          <t>Walls</t>
        </is>
      </c>
      <c r="B12" s="7" t="inlineStr">
        <is>
          <t>Mirror span (from, to, bottom, top)</t>
        </is>
      </c>
      <c r="C12" s="7" t="inlineStr">
        <is>
          <t>Reflective section of a wall</t>
        </is>
      </c>
      <c r="D12" s="7" t="inlineStr">
        <is>
          <t>Partly (whole wall only)</t>
        </is>
      </c>
      <c r="E12" s="7" t="inlineStr">
        <is>
          <t>Thomas</t>
        </is>
      </c>
    </row>
    <row r="13">
      <c r="A13" s="8" t="inlineStr">
        <is>
          <t>Openings</t>
        </is>
      </c>
      <c r="B13" s="7" t="inlineStr">
        <is>
          <t>Wall, offset and width</t>
        </is>
      </c>
      <c r="C13" s="7" t="inlineStr">
        <is>
          <t>Where the cut is</t>
        </is>
      </c>
      <c r="D13" s="7" t="inlineStr">
        <is>
          <t>Yes</t>
        </is>
      </c>
      <c r="E13" s="7" t="inlineStr">
        <is>
          <t>Thomas</t>
        </is>
      </c>
    </row>
    <row r="14">
      <c r="A14" s="8" t="inlineStr">
        <is>
          <t>Openings</t>
        </is>
      </c>
      <c r="B14" s="7" t="inlineStr">
        <is>
          <t>Height and sill</t>
        </is>
      </c>
      <c r="C14" s="7" t="inlineStr">
        <is>
          <t>Cut height; window sill</t>
        </is>
      </c>
      <c r="D14" s="7" t="inlineStr">
        <is>
          <t>Yes (heightM, sillHeightM)</t>
        </is>
      </c>
      <c r="E14" s="7" t="inlineStr">
        <is>
          <t>Thomas</t>
        </is>
      </c>
    </row>
    <row r="15">
      <c r="A15" s="8" t="inlineStr">
        <is>
          <t>Openings</t>
        </is>
      </c>
      <c r="B15" s="7" t="inlineStr">
        <is>
          <t>Kind: single, double or sliding door, roller shutter, window, fixed glazing</t>
        </is>
      </c>
      <c r="C15" s="7" t="inlineStr">
        <is>
          <t>Leaves and glass</t>
        </is>
      </c>
      <c r="D15" s="7" t="inlineStr">
        <is>
          <t>Partly (door, window, opening)</t>
        </is>
      </c>
      <c r="E15" s="7" t="inlineStr">
        <is>
          <t>Thomas</t>
        </is>
      </c>
    </row>
    <row r="16">
      <c r="A16" s="8" t="inlineStr">
        <is>
          <t>Openings</t>
        </is>
      </c>
      <c r="B16" s="7" t="inlineStr">
        <is>
          <t>Hinge side and the space a door swings into</t>
        </is>
      </c>
      <c r="C16" s="7" t="inlineStr">
        <is>
          <t>Door leaf position</t>
        </is>
      </c>
      <c r="D16" s="7" t="inlineStr">
        <is>
          <t>Partly (swing: left, right, inward, outward)</t>
        </is>
      </c>
      <c r="E16" s="7" t="inlineStr">
        <is>
          <t>Thomas</t>
        </is>
      </c>
    </row>
    <row r="17">
      <c r="A17" s="8" t="inlineStr">
        <is>
          <t>Columns</t>
        </is>
      </c>
      <c r="B17" s="7" t="inlineStr">
        <is>
          <t>Position and footprint</t>
        </is>
      </c>
      <c r="C17" s="7" t="inlineStr">
        <is>
          <t>Column block</t>
        </is>
      </c>
      <c r="D17" s="7" t="inlineStr">
        <is>
          <t>Yes</t>
        </is>
      </c>
      <c r="E17" s="7" t="inlineStr">
        <is>
          <t>Thomas</t>
        </is>
      </c>
    </row>
    <row r="18">
      <c r="A18" s="8" t="inlineStr">
        <is>
          <t>Columns</t>
        </is>
      </c>
      <c r="B18" s="7" t="inlineStr">
        <is>
          <t>Shape and height</t>
        </is>
      </c>
      <c r="C18" s="7" t="inlineStr">
        <is>
          <t>Round or square; full or part height</t>
        </is>
      </c>
      <c r="D18" s="7" t="inlineStr">
        <is>
          <t>No</t>
        </is>
      </c>
      <c r="E18" s="7" t="inlineStr">
        <is>
          <t>Thomas</t>
        </is>
      </c>
    </row>
    <row r="19">
      <c r="A19" s="8" t="inlineStr">
        <is>
          <t>Beams and bulkheads</t>
        </is>
      </c>
      <c r="B19" s="7" t="inlineStr">
        <is>
          <t>Outline and bottom height</t>
        </is>
      </c>
      <c r="C19" s="7" t="inlineStr">
        <is>
          <t>Drop-downs below the ceiling</t>
        </is>
      </c>
      <c r="D19" s="7" t="inlineStr">
        <is>
          <t>No</t>
        </is>
      </c>
      <c r="E19" s="7" t="inlineStr">
        <is>
          <t>Thomas</t>
        </is>
      </c>
    </row>
    <row r="20">
      <c r="A20" s="8" t="inlineStr">
        <is>
          <t>Level changes</t>
        </is>
      </c>
      <c r="B20" s="7" t="inlineStr">
        <is>
          <t>Outline, height, kind (step, platform, ramp)</t>
        </is>
      </c>
      <c r="C20" s="7" t="inlineStr">
        <is>
          <t>Raised areas and ramps</t>
        </is>
      </c>
      <c r="D20" s="7" t="inlineStr">
        <is>
          <t>No</t>
        </is>
      </c>
      <c r="E20" s="7" t="inlineStr">
        <is>
          <t>Thomas</t>
        </is>
      </c>
    </row>
    <row r="21">
      <c r="A21" s="8" t="inlineStr">
        <is>
          <t>Stairs, lifts, voids</t>
        </is>
      </c>
      <c r="B21" s="7" t="inlineStr">
        <is>
          <t>Outline and rail</t>
        </is>
      </c>
      <c r="C21" s="7" t="inlineStr">
        <is>
          <t>Holes in the floor with rails</t>
        </is>
      </c>
      <c r="D21" s="7" t="inlineStr">
        <is>
          <t>No (only a point tag)</t>
        </is>
      </c>
      <c r="E21" s="7" t="inlineStr">
        <is>
          <t>Thomas</t>
        </is>
      </c>
    </row>
    <row r="22">
      <c r="A22" s="8" t="inlineStr">
        <is>
          <t>Machines</t>
        </is>
      </c>
      <c r="B22" s="7" t="inlineStr">
        <is>
          <t>Footprint, height, elevation, bearing</t>
        </is>
      </c>
      <c r="C22" s="7" t="inlineStr">
        <is>
          <t>Where the machine sits</t>
        </is>
      </c>
      <c r="D22" s="7" t="inlineStr">
        <is>
          <t>Yes</t>
        </is>
      </c>
      <c r="E22" s="7" t="inlineStr">
        <is>
          <t>Thomas</t>
        </is>
      </c>
    </row>
    <row r="23">
      <c r="A23" s="8" t="inlineStr">
        <is>
          <t>Machines</t>
        </is>
      </c>
      <c r="B23" s="7" t="inlineStr">
        <is>
          <t>Type and name</t>
        </is>
      </c>
      <c r="C23" s="7" t="inlineStr">
        <is>
          <t>Which model to use; labels</t>
        </is>
      </c>
      <c r="D23" s="7" t="inlineStr">
        <is>
          <t>Yes</t>
        </is>
      </c>
      <c r="E23" s="7" t="inlineStr">
        <is>
          <t>Thomas</t>
        </is>
      </c>
    </row>
    <row r="24">
      <c r="A24" s="8" t="inlineStr">
        <is>
          <t>Machines</t>
        </is>
      </c>
      <c r="B24" s="7" t="inlineStr">
        <is>
          <t>Facing (front direction)</t>
        </is>
      </c>
      <c r="C24" s="7" t="inlineStr">
        <is>
          <t>Turning the model the right way</t>
        </is>
      </c>
      <c r="D24" s="7" t="inlineStr">
        <is>
          <t>No</t>
        </is>
      </c>
      <c r="E24" s="7" t="inlineStr">
        <is>
          <t>Thomas</t>
        </is>
      </c>
    </row>
    <row r="25">
      <c r="A25" s="8" t="inlineStr">
        <is>
          <t>Machines</t>
        </is>
      </c>
      <c r="B25" s="7" t="inlineStr">
        <is>
          <t>Model reference and 'same as'</t>
        </is>
      </c>
      <c r="C25" s="7" t="inlineStr">
        <is>
          <t>Which approved model to place</t>
        </is>
      </c>
      <c r="D25" s="7" t="inlineStr">
        <is>
          <t>No</t>
        </is>
      </c>
      <c r="E25" s="7" t="inlineStr">
        <is>
          <t>Thomas</t>
        </is>
      </c>
    </row>
    <row r="26">
      <c r="A26" s="8" t="inlineStr">
        <is>
          <t>Tags</t>
        </is>
      </c>
      <c r="B26" s="7" t="inlineStr">
        <is>
          <t>Fire exits, power points, ceiling, mirror, stair</t>
        </is>
      </c>
      <c r="C26" s="7" t="inlineStr">
        <is>
          <t>Signs and markers</t>
        </is>
      </c>
      <c r="D26" s="7" t="inlineStr">
        <is>
          <t>Yes</t>
        </is>
      </c>
      <c r="E26" s="7" t="inlineStr">
        <is>
          <t>Thomas</t>
        </is>
      </c>
    </row>
    <row r="27">
      <c r="A27" s="8" t="inlineStr">
        <is>
          <t>No-build zones</t>
        </is>
      </c>
      <c r="B27" s="7" t="inlineStr">
        <is>
          <t>Outline</t>
        </is>
      </c>
      <c r="C27" s="7" t="inlineStr">
        <is>
          <t>Floor overlay</t>
        </is>
      </c>
      <c r="D27" s="7" t="inlineStr">
        <is>
          <t>Yes</t>
        </is>
      </c>
      <c r="E27" s="7" t="inlineStr">
        <is>
          <t>Thomas</t>
        </is>
      </c>
    </row>
    <row r="28">
      <c r="A28" s="8" t="inlineStr">
        <is>
          <t>Scale and underlay</t>
        </is>
      </c>
      <c r="B28" s="7" t="inlineStr">
        <is>
          <t>Scale source, metres per pixel, underlay file</t>
        </is>
      </c>
      <c r="C28" s="7" t="inlineStr">
        <is>
          <t>Correct size of everything</t>
        </is>
      </c>
      <c r="D28" s="7" t="inlineStr">
        <is>
          <t>Yes</t>
        </is>
      </c>
      <c r="E28" s="7" t="inlineStr">
        <is>
          <t>Thomas</t>
        </is>
      </c>
    </row>
    <row r="29">
      <c r="A29" s="8" t="inlineStr">
        <is>
          <t>Quality</t>
        </is>
      </c>
      <c r="B29" s="7" t="inlineStr">
        <is>
          <t>Confidence, source and flags per element</t>
        </is>
      </c>
      <c r="C29" s="7" t="inlineStr">
        <is>
          <t>Reviewer checks before approval</t>
        </is>
      </c>
      <c r="D29" s="7" t="inlineStr">
        <is>
          <t>Yes</t>
        </is>
      </c>
      <c r="E29" s="7" t="inlineStr">
        <is>
          <t>Thomas</t>
        </is>
      </c>
    </row>
  </sheetData>
  <autoFilter ref="A1:E2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 width="70" customWidth="1" min="3" max="3"/>
  </cols>
  <sheetData>
    <row r="1">
      <c r="A1" s="6" t="inlineStr">
        <is>
          <t>Feature</t>
        </is>
      </c>
      <c r="B1" s="6" t="inlineStr">
        <is>
          <t>How it works today</t>
        </is>
      </c>
      <c r="C1" s="6" t="inlineStr">
        <is>
          <t>Verdict</t>
        </is>
      </c>
    </row>
    <row r="2">
      <c r="A2" s="8" t="inlineStr">
        <is>
          <t>Password sign-in</t>
        </is>
      </c>
      <c r="B2" s="7" t="inlineStr">
        <is>
          <t>Email and password checked with bcrypt (12 rounds). Unknown emails get the same answer and the same delay as wrong passwords. Disabled users are refused. 10 attempts per 15 minutes per IP and email.</t>
        </is>
      </c>
      <c r="C2" s="7" t="inlineStr">
        <is>
          <t>Correct in the code, but not run: the tests cannot start until shared/plan is back. Replaced by Hub sign-in.</t>
        </is>
      </c>
    </row>
    <row r="3">
      <c r="A3" s="8" t="inlineStr">
        <is>
          <t>Access tokens</t>
        </is>
      </c>
      <c r="B3" s="7" t="inlineStr">
        <is>
          <t>HS256 JWT valid 30 minutes, carrying user, account and role.</t>
        </is>
      </c>
      <c r="C3" s="7" t="inlineStr">
        <is>
          <t>Correct. A disabled user keeps access until the token expires (up to 30 minutes).</t>
        </is>
      </c>
    </row>
    <row r="4">
      <c r="A4" s="8" t="inlineStr">
        <is>
          <t>Refresh tokens</t>
        </is>
      </c>
      <c r="B4" s="7" t="inlineStr">
        <is>
          <t>Random, stored only as a SHA-256 hash, replaced on every use. Reusing an old one ends every session of that user.</t>
        </is>
      </c>
      <c r="C4" s="7" t="inlineStr">
        <is>
          <t>Correct and well designed. Kept for Flex sessions after Hub sign-in.</t>
        </is>
      </c>
    </row>
    <row r="5">
      <c r="A5" s="8" t="inlineStr">
        <is>
          <t>Sign-out</t>
        </is>
      </c>
      <c r="B5" s="7" t="inlineStr">
        <is>
          <t>Revokes the refresh token.</t>
        </is>
      </c>
      <c r="C5" s="7" t="inlineStr">
        <is>
          <t>Correct.</t>
        </is>
      </c>
    </row>
    <row r="6">
      <c r="A6" s="8" t="inlineStr">
        <is>
          <t>Password reset</t>
        </is>
      </c>
      <c r="B6" s="7" t="inlineStr">
        <is>
          <t>Emails a single-use link valid 60 minutes; using it ends every session.</t>
        </is>
      </c>
      <c r="C6" s="7" t="inlineStr">
        <is>
          <t>Broken end to end: no email is sent (mailer.js only logs) and the link points to a /reset-password page the web app does not have. Removed with Hub sign-in.</t>
        </is>
      </c>
    </row>
    <row r="7">
      <c r="A7" s="8" t="inlineStr">
        <is>
          <t>Rate limiting</t>
        </is>
      </c>
      <c r="B7" s="7" t="inlineStr">
        <is>
          <t>Counters kept in the memory of one server process.</t>
        </is>
      </c>
      <c r="C7" s="7" t="inlineStr">
        <is>
          <t>Does not work with more than one server. Move to WAF.</t>
        </is>
      </c>
    </row>
    <row r="8">
      <c r="A8" s="8" t="inlineStr">
        <is>
          <t>Web session</t>
        </is>
      </c>
      <c r="B8" s="7" t="inlineStr">
        <is>
          <t>Access token in memory, refresh token in the tab's sessionStorage, one refresh at a time.</t>
        </is>
      </c>
      <c r="C8" s="7" t="inlineStr">
        <is>
          <t>Correct.</t>
        </is>
      </c>
    </row>
    <row r="9">
      <c r="A9" s="8" t="inlineStr">
        <is>
          <t>iPhone session</t>
        </is>
      </c>
      <c r="B9" s="7" t="inlineStr">
        <is>
          <t>Tokens held in memory only.</t>
        </is>
      </c>
      <c r="C9" s="7" t="inlineStr">
        <is>
          <t>Not as intended: the surveyor signs in on every launch, interrupted uploads wait for sign-in, and offline start (APP-13) is impossible.</t>
        </is>
      </c>
    </row>
    <row r="10">
      <c r="A10" s="8" t="inlineStr">
        <is>
          <t>Roles</t>
        </is>
      </c>
      <c r="B10" s="7" t="inlineStr">
        <is>
          <t>Owner and surveyor belong to one account; reviewer and admin see all accounts; checked on every route.</t>
        </is>
      </c>
      <c r="C10" s="7" t="inlineStr">
        <is>
          <t>Works for one account per user. Several accounts per user is not supported.</t>
        </is>
      </c>
    </row>
    <row r="11">
      <c r="A11" s="8" t="inlineStr">
        <is>
          <t>Tenant scoping</t>
        </is>
      </c>
      <c r="B11" s="7" t="inlineStr">
        <is>
          <t>Every query filters by the account in the token.</t>
        </is>
      </c>
      <c r="C11" s="7" t="inlineStr">
        <is>
          <t>Correct by convention and tested for single accounts, including equipment.</t>
        </is>
      </c>
    </row>
    <row r="12">
      <c r="A12" s="8" t="inlineStr">
        <is>
          <t>Single login through the GoalCert Hub</t>
        </is>
      </c>
      <c r="B12" s="7" t="inlineStr">
        <is>
          <t>—</t>
        </is>
      </c>
      <c r="C12" s="7" t="inlineStr">
        <is>
          <t>Missing. This replaces password sign-in and reset.</t>
        </is>
      </c>
    </row>
  </sheetData>
  <autoFilter ref="A1:C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2026-10-12T06:13:50Z</dcterms:created>
  <dcterms:modified xmlns:dcterms="http://purl.org/dc/terms/" xmlns:xsi="http://www.w3.org/2001/XMLSchema-instance" xsi:type="dcterms:W3CDTF">2026-10-13T10:06:53Z</dcterms:modified>
</cp:coreProperties>
</file>